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esly/Downloads/"/>
    </mc:Choice>
  </mc:AlternateContent>
  <xr:revisionPtr revIDLastSave="0" documentId="13_ncr:1_{A97E7260-AACE-FD4D-B250-0C9AD0407A57}" xr6:coauthVersionLast="47" xr6:coauthVersionMax="47" xr10:uidLastSave="{00000000-0000-0000-0000-000000000000}"/>
  <bookViews>
    <workbookView xWindow="0" yWindow="0" windowWidth="35840" windowHeight="22400" tabRatio="500" activeTab="2" xr2:uid="{00000000-000D-0000-FFFF-FFFF00000000}"/>
  </bookViews>
  <sheets>
    <sheet name="🏠 Portada" sheetId="1" r:id="rId1"/>
    <sheet name="📊 BSC Completo" sheetId="2" r:id="rId2"/>
    <sheet name="💰 Financiera" sheetId="3" r:id="rId3"/>
    <sheet name="👥 Clientes" sheetId="4" r:id="rId4"/>
    <sheet name="🔧 Procesos" sheetId="5" r:id="rId5"/>
    <sheet name="📚 Aprendizaje" sheetId="6" r:id="rId6"/>
    <sheet name="📈 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6" l="1"/>
  <c r="H13" i="6" s="1"/>
  <c r="G12" i="6"/>
  <c r="H12" i="6" s="1"/>
  <c r="G11" i="6"/>
  <c r="H11" i="6" s="1"/>
  <c r="G9" i="6"/>
  <c r="H9" i="6" s="1"/>
  <c r="G8" i="6"/>
  <c r="H8" i="6" s="1"/>
  <c r="G7" i="6"/>
  <c r="H7" i="6" s="1"/>
  <c r="G5" i="6"/>
  <c r="H5" i="6" s="1"/>
  <c r="G4" i="6"/>
  <c r="H4" i="6" s="1"/>
  <c r="G3" i="6"/>
  <c r="H3" i="6" s="1"/>
  <c r="G13" i="5"/>
  <c r="H13" i="5" s="1"/>
  <c r="G12" i="5"/>
  <c r="H12" i="5" s="1"/>
  <c r="G11" i="5"/>
  <c r="H11" i="5" s="1"/>
  <c r="H9" i="5"/>
  <c r="G9" i="5"/>
  <c r="H8" i="5"/>
  <c r="G8" i="5"/>
  <c r="H7" i="5"/>
  <c r="G7" i="5"/>
  <c r="H5" i="5"/>
  <c r="G5" i="5"/>
  <c r="G4" i="5"/>
  <c r="H4" i="5" s="1"/>
  <c r="G3" i="5"/>
  <c r="H3" i="5" s="1"/>
  <c r="G13" i="4"/>
  <c r="H13" i="4" s="1"/>
  <c r="G12" i="4"/>
  <c r="H12" i="4" s="1"/>
  <c r="H11" i="4"/>
  <c r="G11" i="4"/>
  <c r="H9" i="4"/>
  <c r="G9" i="4"/>
  <c r="H8" i="4"/>
  <c r="G8" i="4"/>
  <c r="H7" i="4"/>
  <c r="G7" i="4"/>
  <c r="G5" i="4"/>
  <c r="H5" i="4" s="1"/>
  <c r="G4" i="4"/>
  <c r="H4" i="4" s="1"/>
  <c r="G3" i="4"/>
  <c r="H3" i="4" s="1"/>
  <c r="G13" i="3"/>
  <c r="H13" i="3" s="1"/>
  <c r="H12" i="3"/>
  <c r="G12" i="3"/>
  <c r="H11" i="3"/>
  <c r="G11" i="3"/>
  <c r="H9" i="3"/>
  <c r="G9" i="3"/>
  <c r="H8" i="3"/>
  <c r="G8" i="3"/>
  <c r="G7" i="3"/>
  <c r="H7" i="3" s="1"/>
  <c r="G5" i="3"/>
  <c r="H5" i="3" s="1"/>
  <c r="G4" i="3"/>
  <c r="H4" i="3" s="1"/>
  <c r="G3" i="3"/>
  <c r="H3" i="3" s="1"/>
  <c r="I42" i="2"/>
  <c r="H42" i="2"/>
  <c r="I41" i="2"/>
  <c r="H41" i="2"/>
  <c r="I40" i="2"/>
  <c r="H40" i="2"/>
  <c r="I39" i="2"/>
  <c r="H39" i="2"/>
  <c r="H38" i="2"/>
  <c r="I38" i="2" s="1"/>
  <c r="H37" i="2"/>
  <c r="I37" i="2" s="1"/>
  <c r="H36" i="2"/>
  <c r="I36" i="2" s="1"/>
  <c r="H35" i="2"/>
  <c r="I35" i="2" s="1"/>
  <c r="I34" i="2"/>
  <c r="H34" i="2"/>
  <c r="I32" i="2"/>
  <c r="H32" i="2"/>
  <c r="I31" i="2"/>
  <c r="H31" i="2"/>
  <c r="I30" i="2"/>
  <c r="H30" i="2"/>
  <c r="H29" i="2"/>
  <c r="I29" i="2" s="1"/>
  <c r="H28" i="2"/>
  <c r="I28" i="2" s="1"/>
  <c r="H27" i="2"/>
  <c r="I27" i="2" s="1"/>
  <c r="H26" i="2"/>
  <c r="I26" i="2" s="1"/>
  <c r="I25" i="2"/>
  <c r="H25" i="2"/>
  <c r="I24" i="2"/>
  <c r="H24" i="2"/>
  <c r="I22" i="2"/>
  <c r="H22" i="2"/>
  <c r="I21" i="2"/>
  <c r="H21" i="2"/>
  <c r="H20" i="2"/>
  <c r="I20" i="2" s="1"/>
  <c r="H19" i="2"/>
  <c r="I19" i="2" s="1"/>
  <c r="H18" i="2"/>
  <c r="I18" i="2" s="1"/>
  <c r="H17" i="2"/>
  <c r="I17" i="2" s="1"/>
  <c r="I16" i="2"/>
  <c r="H16" i="2"/>
  <c r="I15" i="2"/>
  <c r="H15" i="2"/>
  <c r="I14" i="2"/>
  <c r="H14" i="2"/>
  <c r="I12" i="2"/>
  <c r="H12" i="2"/>
  <c r="H11" i="2"/>
  <c r="I11" i="2" s="1"/>
  <c r="H10" i="2"/>
  <c r="I10" i="2" s="1"/>
  <c r="H9" i="2"/>
  <c r="I9" i="2" s="1"/>
  <c r="H8" i="2"/>
  <c r="I8" i="2" s="1"/>
  <c r="I7" i="2"/>
  <c r="H7" i="2"/>
  <c r="I6" i="2"/>
  <c r="H6" i="2"/>
  <c r="I5" i="2"/>
  <c r="H5" i="2"/>
  <c r="I4" i="2"/>
  <c r="H4" i="2"/>
</calcChain>
</file>

<file path=xl/sharedStrings.xml><?xml version="1.0" encoding="utf-8"?>
<sst xmlns="http://schemas.openxmlformats.org/spreadsheetml/2006/main" count="375" uniqueCount="210">
  <si>
    <t>BALANCED SCORECARD AMPLIADO — TechPeru SAC  |  2025</t>
  </si>
  <si>
    <t>4 Perspectivas · 12 Objetivos Estratégicos · 36 Indicadores (KPIs)</t>
  </si>
  <si>
    <t>CONTENIDO DEL LIBRO</t>
  </si>
  <si>
    <t xml:space="preserve">  ▸  📊 BSC Completo</t>
  </si>
  <si>
    <t>Resumen de los 36 KPIs con semáforo automático</t>
  </si>
  <si>
    <t xml:space="preserve">  ▸  💰 Financiera</t>
  </si>
  <si>
    <t>3 objetivos · 9 KPIs financieros con detalle</t>
  </si>
  <si>
    <t xml:space="preserve">  ▸  👥 Clientes</t>
  </si>
  <si>
    <t>3 objetivos · 9 KPIs de clientes con detalle</t>
  </si>
  <si>
    <t xml:space="preserve">  ▸  🔧 Procesos</t>
  </si>
  <si>
    <t>3 objetivos · 9 KPIs de procesos internos</t>
  </si>
  <si>
    <t xml:space="preserve">  ▸  📚 Aprendizaje</t>
  </si>
  <si>
    <t>3 objetivos · 9 KPIs de talento e innovación</t>
  </si>
  <si>
    <t xml:space="preserve">  ▸  📈 Dashboard</t>
  </si>
  <si>
    <t>Semáforo ejecutivo global y ranking de KPIs</t>
  </si>
  <si>
    <t>💡 Cómo usar este archivo:</t>
  </si>
  <si>
    <t>1. Los valores en AZUL son entradas manuales (columna 'Real'). Cámbialos con los datos reales.</t>
  </si>
  <si>
    <t>2. Los valores en NEGRO son fórmulas que se calculan automáticamente.</t>
  </si>
  <si>
    <t>3. El semáforo (✅ ⚠️ ❌) se actualiza solo según el % de cumplimiento.</t>
  </si>
  <si>
    <t>4. Verde ≥90% | Ámbar 75-89% | Rojo &lt;75%</t>
  </si>
  <si>
    <t>5. Para KPIs inversos (menor=mejor, ej: costos, defectos): cumplimiento = Meta/Real × 100</t>
  </si>
  <si>
    <t>BALANCED SCORECARD COMPLETO — TechPeru SAC 2025  |  4 Perspectivas · 12 Objetivos · 36 KPIs</t>
  </si>
  <si>
    <t>Perspectiva</t>
  </si>
  <si>
    <t>Objetivo Estratégico</t>
  </si>
  <si>
    <t>Indicador (KPI)</t>
  </si>
  <si>
    <t>Unidad</t>
  </si>
  <si>
    <t>Meta</t>
  </si>
  <si>
    <t>Real</t>
  </si>
  <si>
    <t>% Cumpl.</t>
  </si>
  <si>
    <t>Estado</t>
  </si>
  <si>
    <t>💰 PERSPECTIVA FINANCIERA</t>
  </si>
  <si>
    <t>OBJ-F1: Incrementar la Rentabilidad</t>
  </si>
  <si>
    <t>ROE – Retorno sobre Patrimonio</t>
  </si>
  <si>
    <t>%</t>
  </si>
  <si>
    <t>Margen EBITDA</t>
  </si>
  <si>
    <t>Utilidad Neta Anual</t>
  </si>
  <si>
    <t>S/ MM</t>
  </si>
  <si>
    <t>OBJ-F2: Acelerar el Crecimiento de Ingresos</t>
  </si>
  <si>
    <t>Crecimiento de Ventas YoY</t>
  </si>
  <si>
    <t>Ingresos Totales Anuales</t>
  </si>
  <si>
    <t>Ingresos por Nuevos Productos</t>
  </si>
  <si>
    <t>OBJ-F3: Optimizar la Estructura de Costos</t>
  </si>
  <si>
    <t>Ratio Costo Operativo / Ingreso</t>
  </si>
  <si>
    <t>Costo de Adquisición de Cliente (CAC)</t>
  </si>
  <si>
    <t>S/</t>
  </si>
  <si>
    <t>Retorno sobre Activos (ROA)</t>
  </si>
  <si>
    <t>👥 PERSPECTIVA DE CLIENTES</t>
  </si>
  <si>
    <t>OBJ-C1: Maximizar la Satisfacción del Cliente</t>
  </si>
  <si>
    <t>NPS – Net Promoter Score</t>
  </si>
  <si>
    <t>pts</t>
  </si>
  <si>
    <t>CSAT – Satisfacción post-venta</t>
  </si>
  <si>
    <t>Tiempo de Resolución de Quejas</t>
  </si>
  <si>
    <t>días</t>
  </si>
  <si>
    <t>OBJ-C2: Aumentar la Retención y Fidelización</t>
  </si>
  <si>
    <t>Tasa de Retención de Clientes</t>
  </si>
  <si>
    <t>Tasa de Recompra (Repeat Purchase)</t>
  </si>
  <si>
    <t>Churn Rate (Tasa de Abandono)</t>
  </si>
  <si>
    <t>OBJ-C3: Expandir la Base de Clientes</t>
  </si>
  <si>
    <t>Nuevos Clientes Adquiridos</t>
  </si>
  <si>
    <t>#</t>
  </si>
  <si>
    <t>Cuota de Mercado</t>
  </si>
  <si>
    <t>Costo por Lead Calificado</t>
  </si>
  <si>
    <t>🔧 PERSPECTIVA DE PROCESOS INTERNOS</t>
  </si>
  <si>
    <t>OBJ-P1: Excelencia en Operaciones y Calidad</t>
  </si>
  <si>
    <t>Tiempo Promedio de Entrega al Cliente</t>
  </si>
  <si>
    <t>Tasa de Defectos / Reclamos</t>
  </si>
  <si>
    <t>Productividad por Empleado</t>
  </si>
  <si>
    <t>OBJ-P2: Innovación y Desarrollo de Producto</t>
  </si>
  <si>
    <t>N° Lanzamientos de Nuevos Productos</t>
  </si>
  <si>
    <t>Time-to-Market (lanzamiento)</t>
  </si>
  <si>
    <t>semanas</t>
  </si>
  <si>
    <t>% Ingresos de Productos &lt; 2 años</t>
  </si>
  <si>
    <t>OBJ-P3: Gestión Eficiente de Proveedores</t>
  </si>
  <si>
    <t>On-Time Delivery de Proveedores (OTD)</t>
  </si>
  <si>
    <t>N° Incidencias con Proveedores</t>
  </si>
  <si>
    <t>Costo de Inventario sobre Ventas</t>
  </si>
  <si>
    <t>📚 PERSPECTIVA DE APRENDIZAJE Y CRECIMIENTO</t>
  </si>
  <si>
    <t>OBJ-A1: Desarrollar el Capital Humano</t>
  </si>
  <si>
    <t>Horas de Capacitación por Empleado</t>
  </si>
  <si>
    <t>hrs</t>
  </si>
  <si>
    <t>% Empleados con Plan de Desarrollo</t>
  </si>
  <si>
    <t>Índice de Competencias Clave Cubiertas</t>
  </si>
  <si>
    <t>OBJ-A2: Fortalecer la Cultura y el Clima</t>
  </si>
  <si>
    <t>Índice de Satisfacción del Empleado</t>
  </si>
  <si>
    <t>Rotación de Personal (Turnover)</t>
  </si>
  <si>
    <t>% Empleados con Evaluación Desempeño</t>
  </si>
  <si>
    <t>OBJ-A3: Impulsar la Innovación Organizacional</t>
  </si>
  <si>
    <t>Proyectos de Mejora Continua Activos</t>
  </si>
  <si>
    <t>% Presupuesto I+D sobre Ingresos</t>
  </si>
  <si>
    <t>Ideas Implementadas de Empleados</t>
  </si>
  <si>
    <t>ÍNDICE GLOBAL DE CUMPLIMIENTO (Promedio de los 36 KPIs)</t>
  </si>
  <si>
    <t>→ Ver hoja 📈 Dashboard</t>
  </si>
  <si>
    <t>💰 PERSPECTIVA FINANCIERA  —  3 Objetivos · 9 KPIs · TechPeru SAC 2025</t>
  </si>
  <si>
    <t>Meta Anual</t>
  </si>
  <si>
    <t>Real Acum.</t>
  </si>
  <si>
    <t>Análisis / Acción Recomendada</t>
  </si>
  <si>
    <t>ROE por debajo del 18% meta. Revisar estructura de capital y palanca financiera.</t>
  </si>
  <si>
    <t>Margen comprimido por costos operativos. Plan de reducción de gastos en Q3-Q4.</t>
  </si>
  <si>
    <t>Utilidad neta al 89% de la meta. Requiere incremento de márgenes o volumen.</t>
  </si>
  <si>
    <t>Crecimiento al 82% de la meta. Acelerar pipeline comercial y campañas de upsell.</t>
  </si>
  <si>
    <t>Ingresos 7.2% por debajo de meta. Revisar estrategia de precios y mix de productos.</t>
  </si>
  <si>
    <t>Nuevos productos aportan 15.6% vs. 20% meta. Acelerar lanzamiento de Pipeline Q3.</t>
  </si>
  <si>
    <t>Ratio de costo elevado (58.2% vs 55% meta). Automatizar procesos para reducir costos.</t>
  </si>
  <si>
    <t>CAC de S/412 vs S/350 meta. Optimizar canales de adquisición digital.</t>
  </si>
  <si>
    <t>ROA bajo meta. Revisar eficiencia de activos y desinversión de activos ociosos.</t>
  </si>
  <si>
    <t>📝 Valores en AZUL = entrada manual (columna Real). Formulas en NEGRO = cálculo automático. KPIs INVERSOS: menor valor = mejor resultado (defectos, costos, rotación, etc.)</t>
  </si>
  <si>
    <t>👥 PERSPECTIVA DE CLIENTES  —  3 Objetivos · 9 KPIs · TechPeru SAC 2025</t>
  </si>
  <si>
    <t>NPS de 58 (meta 65). Implementar programa de seguimiento post-venta en 30/60/90 días.</t>
  </si>
  <si>
    <t>CSAT al 95.5% de meta. Reforzar proceso de onboarding y soporte técnico.</t>
  </si>
  <si>
    <t>Tiempo de resolución 2.8 días vs. 2 días meta. Crear equipo dedicado de soporte nivel 2.</t>
  </si>
  <si>
    <t>Retención al 96.7% de meta. Lanzar programa de fidelización con descuentos por volumen.</t>
  </si>
  <si>
    <t>Recompra al 89% de meta. Implementar campañas de re-engagement a los 90 días.</t>
  </si>
  <si>
    <t>Churn 7.2% vs. 5% meta (KPI inverso — CRÍTICO). Crear equipo de Customer Success.</t>
  </si>
  <si>
    <t>105 nuevos clientes vs. 120 meta (87.5%). Ampliar fuerza de ventas en regiones.</t>
  </si>
  <si>
    <t>Cuota al 91.8% de meta. Ejecutar campañas de awareness en mercados objetivo.</t>
  </si>
  <si>
    <t>CAC por lead elevado. Migrar mayor presupuesto a canales orgánicos (SEO/contenido).</t>
  </si>
  <si>
    <t>🔧 PERSPECTIVA DE PROCESOS INTERNOS  —  3 Objetivos · 9 KPIs · TechPeru SAC 2025</t>
  </si>
  <si>
    <t>Entrega en 3.5 días vs. 3 días meta. Revisar cuellos de botella en picking y despacho.</t>
  </si>
  <si>
    <t>Defectos al 2.8% vs. 2% meta. Implementar control de calidad en cada etapa del proceso.</t>
  </si>
  <si>
    <t>Productividad por debajo de meta. Automatizar tareas repetitivas con RPA.</t>
  </si>
  <si>
    <t>Solo 3 de 4 productos lanzados. Acelerar MVP del 4° producto para Q4.</t>
  </si>
  <si>
    <t>Time-to-market 25% por encima de meta. Adoptar metodología ágil en equipos de producto.</t>
  </si>
  <si>
    <t>Ingresos de nuevos productos al 72% de meta. Fortalecer validación de mercado pre-lanzamiento.</t>
  </si>
  <si>
    <t>OTD al 96.8% de meta. Negociar SLAs más estrictos con los 3 proveedores críticos.</t>
  </si>
  <si>
    <t>8 incidencias vs. 5 meta. Implementar sistema de evaluación mensual de proveedores.</t>
  </si>
  <si>
    <t>Inventario al 20.8% sobre meta. Revisar política de stock mínimo y modelo de compras.</t>
  </si>
  <si>
    <t>📚 PERSPECTIVA DE APRENDIZAJE Y CRECIMIENTO  —  3 Objetivos · 9 KPIs · TechPeru SAC 2025</t>
  </si>
  <si>
    <t>35 hrs vs. 40 hrs meta (87.5%). Agregar 2 sesiones de capacitación virtual mensual.</t>
  </si>
  <si>
    <t>72% vs. 80% meta. Hacer obligatoria la capacitación para todos los equipos de ventas.</t>
  </si>
  <si>
    <t>74% vs. 85% meta. Identificar brechas de competencias y crear plan de cierre por área.</t>
  </si>
  <si>
    <t>Satisfacción al 90.7% de meta. Lanzar encuesta trimestral y plan de acción en 30 días.</t>
  </si>
  <si>
    <t>Rotación 10% vs. 8% meta (KPI inverso — CRÍTICO). Revisar esquema de compensación y línea de carrera.</t>
  </si>
  <si>
    <t>88% vs. 95% meta. Completar evaluaciones de desempeño pendientes antes de fin de Q3.</t>
  </si>
  <si>
    <t>5 de 6 proyectos activos (83.3%). Conformar equipo de mejora continua multidisciplinario.</t>
  </si>
  <si>
    <t>Presupuesto I+D al 76% de meta. Presentar propuesta de incremento para próximo presupuesto.</t>
  </si>
  <si>
    <t>16 de 24 ideas implementadas (66.7%). Crear plataforma digital de gestión de ideas.</t>
  </si>
  <si>
    <t>📊 DASHBOARD EJECUTIVO BSC — TechPeru SAC 2025</t>
  </si>
  <si>
    <t>💰 Financiera</t>
  </si>
  <si>
    <t>👥 Clientes</t>
  </si>
  <si>
    <t>KPI</t>
  </si>
  <si>
    <t>ROE</t>
  </si>
  <si>
    <t>✅ 91.7%</t>
  </si>
  <si>
    <t>NPS</t>
  </si>
  <si>
    <t>⚠️ 89.2%</t>
  </si>
  <si>
    <t>✅ 90.0%</t>
  </si>
  <si>
    <t>CSAT</t>
  </si>
  <si>
    <t>✅ 95.5%</t>
  </si>
  <si>
    <t>Utilidad Neta</t>
  </si>
  <si>
    <t>⚠️ 89.0%</t>
  </si>
  <si>
    <t>T. Resolución</t>
  </si>
  <si>
    <t>❌ 71.4%</t>
  </si>
  <si>
    <t>Crec. Ventas</t>
  </si>
  <si>
    <t>⚠️ 82.0%</t>
  </si>
  <si>
    <t>Retención</t>
  </si>
  <si>
    <t>✅ 96.7%</t>
  </si>
  <si>
    <t>Ingresos</t>
  </si>
  <si>
    <t>✅ 92.9%</t>
  </si>
  <si>
    <t>Recompra</t>
  </si>
  <si>
    <t>⚠️ 89.1%</t>
  </si>
  <si>
    <t>Ing. Nuevos Prod</t>
  </si>
  <si>
    <t>⚠️ 78.0%</t>
  </si>
  <si>
    <t>Churn Rate</t>
  </si>
  <si>
    <t>❌ 69.4%</t>
  </si>
  <si>
    <t>Ratio Costo/Ing</t>
  </si>
  <si>
    <t>✅ 94.5%</t>
  </si>
  <si>
    <t>Nuevos Clientes</t>
  </si>
  <si>
    <t>⚠️ 87.5%</t>
  </si>
  <si>
    <t>CAC</t>
  </si>
  <si>
    <t>⚠️ 85.0%</t>
  </si>
  <si>
    <t>Cuota Mercado</t>
  </si>
  <si>
    <t>✅ 91.8%</t>
  </si>
  <si>
    <t>ROA</t>
  </si>
  <si>
    <t>⚠️ 86.7%</t>
  </si>
  <si>
    <t>Costo/Lead</t>
  </si>
  <si>
    <t>⚠️ 83.7%</t>
  </si>
  <si>
    <t>🔧 Procesos</t>
  </si>
  <si>
    <t>📚 Aprendizaje</t>
  </si>
  <si>
    <t>T. Entrega</t>
  </si>
  <si>
    <t>⚠️ 85.7%</t>
  </si>
  <si>
    <t>Hrs Capacitación</t>
  </si>
  <si>
    <t>Defectos</t>
  </si>
  <si>
    <t>Empl. Capacitados</t>
  </si>
  <si>
    <t>Productividad</t>
  </si>
  <si>
    <t>⚠️ 88.0%</t>
  </si>
  <si>
    <t>Comp. Cubiertas</t>
  </si>
  <si>
    <t>⚠️ 87.1%</t>
  </si>
  <si>
    <t>Lanzamientos</t>
  </si>
  <si>
    <t>⚠️ 75.0%</t>
  </si>
  <si>
    <t>Satisf. Emp.</t>
  </si>
  <si>
    <t>✅ 90.7%</t>
  </si>
  <si>
    <t>Time-to-Market</t>
  </si>
  <si>
    <t>⚠️ 80.0%</t>
  </si>
  <si>
    <t>Rotación</t>
  </si>
  <si>
    <t>❌ 72.0%</t>
  </si>
  <si>
    <t>Eval. Desempeño</t>
  </si>
  <si>
    <t>✅ 92.6%</t>
  </si>
  <si>
    <t>OTD Proveed.</t>
  </si>
  <si>
    <t>✅ 96.8%</t>
  </si>
  <si>
    <t>Proy. Mejora</t>
  </si>
  <si>
    <t>⚠️ 83.3%</t>
  </si>
  <si>
    <t>Incidencias</t>
  </si>
  <si>
    <t>❌ 62.5%</t>
  </si>
  <si>
    <t>Presupto I+D</t>
  </si>
  <si>
    <t>⚠️ 76.0%</t>
  </si>
  <si>
    <t>ÍNDICE GLOBAL DE CUMPLIMIENTO BSC 2025</t>
  </si>
  <si>
    <t>⚠️  Cumplimiento Promedio: 84.2%  —  EN RIESGO  |  (36 KPIs evaluados)</t>
  </si>
  <si>
    <t>✅ LOGRADO: 11 KPIs</t>
  </si>
  <si>
    <t>⚠️ EN RIESGO: 19 KPIs</t>
  </si>
  <si>
    <t>❌ CRÍTICO: 6 KPIs</t>
  </si>
  <si>
    <t>Lectura: ✅ Cumplimiento ≥90%  |  ⚠️ Entre 75% y 89%  |  ❌ Menor a 75%  |  KPIs INVERSOS: defectos, costos, rotación, tiempo (menor valor = mejor desempeño)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</si>
</sst>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\%"/>
  </numFmts>
  <fonts count="3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1F4E79"/>
      <name val="Arial"/>
      <family val="2"/>
    </font>
    <font>
      <sz val="10"/>
      <color rgb="FF444444"/>
      <name val="Arial"/>
      <family val="2"/>
    </font>
    <font>
      <i/>
      <sz val="9"/>
      <color rgb="FF444444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1F4E79"/>
      <name val="Arial"/>
      <family val="2"/>
    </font>
    <font>
      <sz val="9"/>
      <color rgb="FF000000"/>
      <name val="Arial"/>
      <family val="2"/>
    </font>
    <font>
      <sz val="9"/>
      <color rgb="FF555555"/>
      <name val="Arial"/>
      <family val="2"/>
    </font>
    <font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8"/>
      <color rgb="FF1A5E35"/>
      <name val="Arial"/>
      <family val="2"/>
    </font>
    <font>
      <b/>
      <sz val="8"/>
      <color rgb="FF7B3F00"/>
      <name val="Arial"/>
      <family val="2"/>
    </font>
    <font>
      <b/>
      <sz val="8"/>
      <color rgb="FF4B0082"/>
      <name val="Arial"/>
      <family val="2"/>
    </font>
    <font>
      <b/>
      <sz val="10"/>
      <color rgb="FFFFFFFF"/>
      <name val="Arial"/>
      <family val="2"/>
    </font>
    <font>
      <b/>
      <sz val="10"/>
      <color rgb="FF5C4000"/>
      <name val="Arial"/>
      <family val="2"/>
    </font>
    <font>
      <b/>
      <sz val="9"/>
      <color rgb="FF1F4E79"/>
      <name val="Arial"/>
      <family val="2"/>
    </font>
    <font>
      <b/>
      <sz val="10"/>
      <color rgb="FF000000"/>
      <name val="Arial"/>
      <family val="2"/>
    </font>
    <font>
      <i/>
      <sz val="8"/>
      <color rgb="FF333333"/>
      <name val="Arial"/>
      <family val="2"/>
    </font>
    <font>
      <i/>
      <sz val="8"/>
      <color rgb="FF777777"/>
      <name val="Arial"/>
      <family val="2"/>
    </font>
    <font>
      <b/>
      <sz val="9"/>
      <color rgb="FF1A5E35"/>
      <name val="Arial"/>
      <family val="2"/>
    </font>
    <font>
      <b/>
      <sz val="9"/>
      <color rgb="FF7B3F00"/>
      <name val="Arial"/>
      <family val="2"/>
    </font>
    <font>
      <b/>
      <sz val="9"/>
      <color rgb="FF4B0082"/>
      <name val="Arial"/>
      <family val="2"/>
    </font>
    <font>
      <b/>
      <sz val="14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rgb="FFFFFFFF"/>
      <name val="Arial"/>
      <family val="2"/>
    </font>
    <font>
      <b/>
      <sz val="14"/>
      <color rgb="FF3A2000"/>
      <name val="Arial"/>
      <family val="2"/>
    </font>
    <font>
      <i/>
      <sz val="8"/>
      <color rgb="FF666666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F75B6"/>
        <bgColor rgb="FF0066CC"/>
      </patternFill>
    </fill>
    <fill>
      <patternFill patternType="solid">
        <fgColor rgb="FF1F4E79"/>
        <bgColor rgb="FF1F3864"/>
      </patternFill>
    </fill>
    <fill>
      <patternFill patternType="solid">
        <fgColor rgb="FFD6E4F0"/>
        <bgColor rgb="FFD5EDDC"/>
      </patternFill>
    </fill>
    <fill>
      <patternFill patternType="solid">
        <fgColor rgb="FFEBF3FA"/>
        <bgColor rgb="FFEAF6EE"/>
      </patternFill>
    </fill>
    <fill>
      <patternFill patternType="solid">
        <fgColor rgb="FF1A5E35"/>
        <bgColor rgb="FF1F4E79"/>
      </patternFill>
    </fill>
    <fill>
      <patternFill patternType="solid">
        <fgColor rgb="FFD5EDDC"/>
        <bgColor rgb="FFC6EFCE"/>
      </patternFill>
    </fill>
    <fill>
      <patternFill patternType="solid">
        <fgColor rgb="FFEAF6EE"/>
        <bgColor rgb="FFEBF3FA"/>
      </patternFill>
    </fill>
    <fill>
      <patternFill patternType="solid">
        <fgColor rgb="FF7B3F00"/>
        <bgColor rgb="FF5C4000"/>
      </patternFill>
    </fill>
    <fill>
      <patternFill patternType="solid">
        <fgColor rgb="FFFAE6CC"/>
        <bgColor rgb="FFFDF3E5"/>
      </patternFill>
    </fill>
    <fill>
      <patternFill patternType="solid">
        <fgColor rgb="FFFDF3E5"/>
        <bgColor rgb="FFF4EEFF"/>
      </patternFill>
    </fill>
    <fill>
      <patternFill patternType="solid">
        <fgColor rgb="FF4B0082"/>
        <bgColor rgb="FF800080"/>
      </patternFill>
    </fill>
    <fill>
      <patternFill patternType="solid">
        <fgColor rgb="FFE8DAFF"/>
        <bgColor rgb="FFD6E4F0"/>
      </patternFill>
    </fill>
    <fill>
      <patternFill patternType="solid">
        <fgColor rgb="FFF4EEFF"/>
        <bgColor rgb="FFEBF3FA"/>
      </patternFill>
    </fill>
    <fill>
      <patternFill patternType="solid">
        <fgColor rgb="FFFFEB9C"/>
        <bgColor rgb="FFFAE6CC"/>
      </patternFill>
    </fill>
    <fill>
      <patternFill patternType="solid">
        <fgColor rgb="FFC6EFCE"/>
        <bgColor rgb="FFD5EDDC"/>
      </patternFill>
    </fill>
    <fill>
      <patternFill patternType="solid">
        <fgColor rgb="FFFFC7CE"/>
        <bgColor rgb="FFFAE6CC"/>
      </patternFill>
    </fill>
  </fills>
  <borders count="14">
    <border>
      <left/>
      <right/>
      <top/>
      <bottom/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4444"/>
      </left>
      <right/>
      <top style="thin">
        <color rgb="FF444444"/>
      </top>
      <bottom style="thin">
        <color rgb="FF44444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555555"/>
      </left>
      <right/>
      <top style="thin">
        <color rgb="FF555555"/>
      </top>
      <bottom style="thin">
        <color rgb="FF555555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777777"/>
      </left>
      <right style="thin">
        <color rgb="FFCCCCCC"/>
      </right>
      <top style="thin">
        <color rgb="FF777777"/>
      </top>
      <bottom style="thin">
        <color rgb="FF777777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5" fillId="11" borderId="4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textRotation="90" wrapText="1"/>
    </xf>
    <xf numFmtId="0" fontId="14" fillId="9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textRotation="90" wrapText="1"/>
    </xf>
    <xf numFmtId="0" fontId="9" fillId="6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8" fillId="3" borderId="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center" vertical="center"/>
    </xf>
    <xf numFmtId="164" fontId="12" fillId="5" borderId="5" xfId="0" applyNumberFormat="1" applyFont="1" applyFill="1" applyBorder="1" applyAlignment="1">
      <alignment horizontal="center" vertical="center"/>
    </xf>
    <xf numFmtId="165" fontId="13" fillId="5" borderId="5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center" vertical="center"/>
    </xf>
    <xf numFmtId="164" fontId="12" fillId="6" borderId="5" xfId="0" applyNumberFormat="1" applyFont="1" applyFill="1" applyBorder="1" applyAlignment="1">
      <alignment horizontal="center" vertical="center"/>
    </xf>
    <xf numFmtId="165" fontId="13" fillId="6" borderId="5" xfId="0" applyNumberFormat="1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 wrapText="1"/>
    </xf>
    <xf numFmtId="0" fontId="11" fillId="8" borderId="5" xfId="0" applyFont="1" applyFill="1" applyBorder="1" applyAlignment="1">
      <alignment horizontal="center" vertical="center"/>
    </xf>
    <xf numFmtId="164" fontId="12" fillId="8" borderId="5" xfId="0" applyNumberFormat="1" applyFont="1" applyFill="1" applyBorder="1" applyAlignment="1">
      <alignment horizontal="center" vertical="center"/>
    </xf>
    <xf numFmtId="165" fontId="13" fillId="8" borderId="5" xfId="0" applyNumberFormat="1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left" vertical="center" wrapText="1"/>
    </xf>
    <xf numFmtId="0" fontId="11" fillId="9" borderId="5" xfId="0" applyFont="1" applyFill="1" applyBorder="1" applyAlignment="1">
      <alignment horizontal="center" vertical="center"/>
    </xf>
    <xf numFmtId="164" fontId="12" fillId="9" borderId="5" xfId="0" applyNumberFormat="1" applyFont="1" applyFill="1" applyBorder="1" applyAlignment="1">
      <alignment horizontal="center" vertical="center"/>
    </xf>
    <xf numFmtId="165" fontId="13" fillId="9" borderId="5" xfId="0" applyNumberFormat="1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left" vertical="center" wrapText="1"/>
    </xf>
    <xf numFmtId="0" fontId="11" fillId="11" borderId="5" xfId="0" applyFont="1" applyFill="1" applyBorder="1" applyAlignment="1">
      <alignment horizontal="center" vertical="center"/>
    </xf>
    <xf numFmtId="164" fontId="12" fillId="11" borderId="5" xfId="0" applyNumberFormat="1" applyFont="1" applyFill="1" applyBorder="1" applyAlignment="1">
      <alignment horizontal="center" vertical="center"/>
    </xf>
    <xf numFmtId="165" fontId="13" fillId="11" borderId="5" xfId="0" applyNumberFormat="1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left" vertical="center" wrapText="1"/>
    </xf>
    <xf numFmtId="0" fontId="11" fillId="12" borderId="5" xfId="0" applyFont="1" applyFill="1" applyBorder="1" applyAlignment="1">
      <alignment horizontal="center" vertical="center"/>
    </xf>
    <xf numFmtId="164" fontId="12" fillId="12" borderId="5" xfId="0" applyNumberFormat="1" applyFont="1" applyFill="1" applyBorder="1" applyAlignment="1">
      <alignment horizontal="center" vertical="center"/>
    </xf>
    <xf numFmtId="165" fontId="13" fillId="12" borderId="5" xfId="0" applyNumberFormat="1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left" vertical="center" wrapText="1"/>
    </xf>
    <xf numFmtId="0" fontId="11" fillId="14" borderId="5" xfId="0" applyFont="1" applyFill="1" applyBorder="1" applyAlignment="1">
      <alignment horizontal="center" vertical="center"/>
    </xf>
    <xf numFmtId="164" fontId="12" fillId="14" borderId="5" xfId="0" applyNumberFormat="1" applyFont="1" applyFill="1" applyBorder="1" applyAlignment="1">
      <alignment horizontal="center" vertical="center"/>
    </xf>
    <xf numFmtId="165" fontId="13" fillId="14" borderId="5" xfId="0" applyNumberFormat="1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left" vertical="center" wrapText="1"/>
    </xf>
    <xf numFmtId="0" fontId="11" fillId="15" borderId="5" xfId="0" applyFont="1" applyFill="1" applyBorder="1" applyAlignment="1">
      <alignment horizontal="center" vertical="center"/>
    </xf>
    <xf numFmtId="164" fontId="12" fillId="15" borderId="5" xfId="0" applyNumberFormat="1" applyFont="1" applyFill="1" applyBorder="1" applyAlignment="1">
      <alignment horizontal="center" vertical="center"/>
    </xf>
    <xf numFmtId="165" fontId="13" fillId="15" borderId="5" xfId="0" applyNumberFormat="1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165" fontId="20" fillId="5" borderId="5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left" vertical="center" wrapText="1"/>
    </xf>
    <xf numFmtId="165" fontId="20" fillId="6" borderId="5" xfId="0" applyNumberFormat="1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center" vertical="center"/>
    </xf>
    <xf numFmtId="165" fontId="20" fillId="8" borderId="5" xfId="0" applyNumberFormat="1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left" vertical="center" wrapText="1"/>
    </xf>
    <xf numFmtId="165" fontId="20" fillId="9" borderId="5" xfId="0" applyNumberFormat="1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left" vertical="center" wrapText="1"/>
    </xf>
    <xf numFmtId="0" fontId="8" fillId="10" borderId="8" xfId="0" applyFont="1" applyFill="1" applyBorder="1" applyAlignment="1">
      <alignment horizontal="center" vertical="center"/>
    </xf>
    <xf numFmtId="165" fontId="20" fillId="11" borderId="5" xfId="0" applyNumberFormat="1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left" vertical="center" wrapText="1"/>
    </xf>
    <xf numFmtId="165" fontId="20" fillId="12" borderId="5" xfId="0" applyNumberFormat="1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left" vertical="center" wrapText="1"/>
    </xf>
    <xf numFmtId="0" fontId="8" fillId="13" borderId="8" xfId="0" applyFont="1" applyFill="1" applyBorder="1" applyAlignment="1">
      <alignment horizontal="center" vertical="center"/>
    </xf>
    <xf numFmtId="165" fontId="20" fillId="14" borderId="5" xfId="0" applyNumberFormat="1" applyFont="1" applyFill="1" applyBorder="1" applyAlignment="1">
      <alignment horizontal="center" vertical="center"/>
    </xf>
    <xf numFmtId="0" fontId="21" fillId="14" borderId="5" xfId="0" applyFont="1" applyFill="1" applyBorder="1" applyAlignment="1">
      <alignment horizontal="left" vertical="center" wrapText="1"/>
    </xf>
    <xf numFmtId="165" fontId="20" fillId="15" borderId="5" xfId="0" applyNumberFormat="1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left" vertical="center" wrapText="1"/>
    </xf>
    <xf numFmtId="0" fontId="27" fillId="4" borderId="11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8" fillId="17" borderId="5" xfId="0" applyFont="1" applyFill="1" applyBorder="1" applyAlignment="1">
      <alignment horizontal="left" vertical="center"/>
    </xf>
    <xf numFmtId="164" fontId="28" fillId="17" borderId="5" xfId="0" applyNumberFormat="1" applyFont="1" applyFill="1" applyBorder="1" applyAlignment="1">
      <alignment horizontal="center" vertical="center"/>
    </xf>
    <xf numFmtId="0" fontId="29" fillId="17" borderId="5" xfId="0" applyFont="1" applyFill="1" applyBorder="1" applyAlignment="1">
      <alignment horizontal="center" vertical="center"/>
    </xf>
    <xf numFmtId="0" fontId="28" fillId="16" borderId="5" xfId="0" applyFont="1" applyFill="1" applyBorder="1" applyAlignment="1">
      <alignment horizontal="left" vertical="center"/>
    </xf>
    <xf numFmtId="164" fontId="28" fillId="16" borderId="5" xfId="0" applyNumberFormat="1" applyFont="1" applyFill="1" applyBorder="1" applyAlignment="1">
      <alignment horizontal="center" vertical="center"/>
    </xf>
    <xf numFmtId="0" fontId="29" fillId="16" borderId="5" xfId="0" applyFont="1" applyFill="1" applyBorder="1" applyAlignment="1">
      <alignment horizontal="center" vertical="center"/>
    </xf>
    <xf numFmtId="0" fontId="28" fillId="18" borderId="5" xfId="0" applyFont="1" applyFill="1" applyBorder="1" applyAlignment="1">
      <alignment horizontal="left" vertical="center"/>
    </xf>
    <xf numFmtId="164" fontId="28" fillId="18" borderId="5" xfId="0" applyNumberFormat="1" applyFont="1" applyFill="1" applyBorder="1" applyAlignment="1">
      <alignment horizontal="center" vertical="center"/>
    </xf>
    <xf numFmtId="0" fontId="29" fillId="18" borderId="5" xfId="0" applyFont="1" applyFill="1" applyBorder="1" applyAlignment="1">
      <alignment horizontal="center" vertical="center"/>
    </xf>
    <xf numFmtId="0" fontId="27" fillId="10" borderId="11" xfId="0" applyFont="1" applyFill="1" applyBorder="1" applyAlignment="1">
      <alignment horizontal="center" vertical="center"/>
    </xf>
    <xf numFmtId="0" fontId="27" fillId="13" borderId="11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textRotation="90" wrapText="1"/>
    </xf>
    <xf numFmtId="0" fontId="16" fillId="14" borderId="4" xfId="0" applyFont="1" applyFill="1" applyBorder="1" applyAlignment="1">
      <alignment horizontal="center" vertical="center" wrapText="1"/>
    </xf>
    <xf numFmtId="0" fontId="16" fillId="15" borderId="4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0" fontId="18" fillId="16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9" fillId="14" borderId="9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24" fillId="14" borderId="9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25" fillId="14" borderId="9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 wrapText="1"/>
    </xf>
    <xf numFmtId="0" fontId="31" fillId="16" borderId="13" xfId="0" applyFont="1" applyFill="1" applyBorder="1" applyAlignment="1">
      <alignment horizontal="center" vertical="center"/>
    </xf>
    <xf numFmtId="0" fontId="20" fillId="17" borderId="13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0" fontId="20" fillId="18" borderId="13" xfId="0" applyFont="1" applyFill="1" applyBorder="1" applyAlignment="1">
      <alignment horizontal="center" vertical="center"/>
    </xf>
    <xf numFmtId="0" fontId="32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E35"/>
      <rgbColor rgb="FF000080"/>
      <rgbColor rgb="FF777777"/>
      <rgbColor rgb="FF800080"/>
      <rgbColor rgb="FF008080"/>
      <rgbColor rgb="FFCCCCCC"/>
      <rgbColor rgb="FF888888"/>
      <rgbColor rgb="FFEBF3FA"/>
      <rgbColor rgb="FF555555"/>
      <rgbColor rgb="FFFDF3E5"/>
      <rgbColor rgb="FFD5EDDC"/>
      <rgbColor rgb="FF4B0082"/>
      <rgbColor rgb="FFFF8080"/>
      <rgbColor rgb="FF0066CC"/>
      <rgbColor rgb="FFE8DA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6EE"/>
      <rgbColor rgb="FFC6EFCE"/>
      <rgbColor rgb="FFFFEB9C"/>
      <rgbColor rgb="FFD6E4F0"/>
      <rgbColor rgb="FFFAE6CC"/>
      <rgbColor rgb="FFF4EEFF"/>
      <rgbColor rgb="FFFFC7CE"/>
      <rgbColor rgb="FF2F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444444"/>
      <rgbColor rgb="FF3A2000"/>
      <rgbColor rgb="FF7B3F00"/>
      <rgbColor rgb="FF5C4000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zoomScaleNormal="100" workbookViewId="0">
      <selection activeCell="B9" sqref="B9"/>
    </sheetView>
  </sheetViews>
  <sheetFormatPr baseColWidth="10" defaultColWidth="8.6640625" defaultRowHeight="15" x14ac:dyDescent="0.2"/>
  <cols>
    <col min="1" max="1" width="4" customWidth="1"/>
    <col min="2" max="2" width="62" customWidth="1"/>
    <col min="3" max="3" width="26" customWidth="1"/>
  </cols>
  <sheetData>
    <row r="2" spans="2:3" ht="39.75" customHeight="1" x14ac:dyDescent="0.2">
      <c r="B2" s="14" t="s">
        <v>0</v>
      </c>
      <c r="C2" s="14"/>
    </row>
    <row r="3" spans="2:3" ht="24" customHeight="1" x14ac:dyDescent="0.2">
      <c r="B3" s="13" t="s">
        <v>1</v>
      </c>
      <c r="C3" s="13"/>
    </row>
    <row r="5" spans="2:3" x14ac:dyDescent="0.2">
      <c r="B5" s="12" t="s">
        <v>2</v>
      </c>
      <c r="C5" s="12"/>
    </row>
    <row r="6" spans="2:3" ht="18" customHeight="1" x14ac:dyDescent="0.2">
      <c r="B6" s="15" t="s">
        <v>3</v>
      </c>
      <c r="C6" s="16" t="s">
        <v>4</v>
      </c>
    </row>
    <row r="7" spans="2:3" ht="18" customHeight="1" x14ac:dyDescent="0.2">
      <c r="B7" s="15" t="s">
        <v>5</v>
      </c>
      <c r="C7" s="16" t="s">
        <v>6</v>
      </c>
    </row>
    <row r="8" spans="2:3" ht="18" customHeight="1" x14ac:dyDescent="0.2">
      <c r="B8" s="15" t="s">
        <v>7</v>
      </c>
      <c r="C8" s="16" t="s">
        <v>8</v>
      </c>
    </row>
    <row r="9" spans="2:3" ht="18" customHeight="1" x14ac:dyDescent="0.2">
      <c r="B9" s="15" t="s">
        <v>9</v>
      </c>
      <c r="C9" s="16" t="s">
        <v>10</v>
      </c>
    </row>
    <row r="10" spans="2:3" ht="18" customHeight="1" x14ac:dyDescent="0.2">
      <c r="B10" s="15" t="s">
        <v>11</v>
      </c>
      <c r="C10" s="16" t="s">
        <v>12</v>
      </c>
    </row>
    <row r="11" spans="2:3" ht="18" customHeight="1" x14ac:dyDescent="0.2">
      <c r="B11" s="15" t="s">
        <v>13</v>
      </c>
      <c r="C11" s="16" t="s">
        <v>14</v>
      </c>
    </row>
    <row r="13" spans="2:3" x14ac:dyDescent="0.2">
      <c r="B13" s="11" t="s">
        <v>15</v>
      </c>
      <c r="C13" s="11"/>
    </row>
    <row r="14" spans="2:3" ht="15.75" customHeight="1" x14ac:dyDescent="0.2">
      <c r="B14" s="10" t="s">
        <v>16</v>
      </c>
      <c r="C14" s="10"/>
    </row>
    <row r="15" spans="2:3" ht="15.75" customHeight="1" x14ac:dyDescent="0.2">
      <c r="B15" s="10" t="s">
        <v>17</v>
      </c>
      <c r="C15" s="10"/>
    </row>
    <row r="16" spans="2:3" ht="15.75" customHeight="1" x14ac:dyDescent="0.2">
      <c r="B16" s="10" t="s">
        <v>18</v>
      </c>
      <c r="C16" s="10"/>
    </row>
    <row r="17" spans="2:3" ht="15.75" customHeight="1" x14ac:dyDescent="0.2">
      <c r="B17" s="10" t="s">
        <v>19</v>
      </c>
      <c r="C17" s="10"/>
    </row>
    <row r="18" spans="2:3" ht="15.75" customHeight="1" x14ac:dyDescent="0.2">
      <c r="B18" s="10" t="s">
        <v>20</v>
      </c>
      <c r="C18" s="10"/>
    </row>
  </sheetData>
  <mergeCells count="9">
    <mergeCell ref="B15:C15"/>
    <mergeCell ref="B16:C16"/>
    <mergeCell ref="B17:C17"/>
    <mergeCell ref="B18:C18"/>
    <mergeCell ref="B2:C2"/>
    <mergeCell ref="B3:C3"/>
    <mergeCell ref="B5:C5"/>
    <mergeCell ref="B13:C13"/>
    <mergeCell ref="B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4"/>
  <sheetViews>
    <sheetView showGridLines="0" topLeftCell="A23" zoomScale="174" zoomScaleNormal="100" workbookViewId="0">
      <selection activeCell="G8" sqref="G8"/>
    </sheetView>
  </sheetViews>
  <sheetFormatPr baseColWidth="10" defaultColWidth="8.6640625" defaultRowHeight="15" x14ac:dyDescent="0.2"/>
  <cols>
    <col min="1" max="1" width="3" customWidth="1"/>
    <col min="2" max="2" width="18" customWidth="1"/>
    <col min="3" max="3" width="22" customWidth="1"/>
    <col min="4" max="4" width="38" customWidth="1"/>
    <col min="5" max="5" width="11" customWidth="1"/>
    <col min="6" max="7" width="12" customWidth="1"/>
    <col min="8" max="8" width="14" customWidth="1"/>
    <col min="9" max="9" width="16" customWidth="1"/>
  </cols>
  <sheetData>
    <row r="2" spans="2:9" ht="31.5" customHeight="1" x14ac:dyDescent="0.2">
      <c r="B2" s="9" t="s">
        <v>21</v>
      </c>
      <c r="C2" s="9"/>
      <c r="D2" s="9"/>
      <c r="E2" s="9"/>
      <c r="F2" s="9"/>
      <c r="G2" s="9"/>
      <c r="H2" s="9"/>
      <c r="I2" s="9"/>
    </row>
    <row r="3" spans="2:9" ht="19.5" customHeight="1" x14ac:dyDescent="0.2">
      <c r="B3" s="17" t="s">
        <v>22</v>
      </c>
      <c r="C3" s="17" t="s">
        <v>23</v>
      </c>
      <c r="D3" s="17" t="s">
        <v>24</v>
      </c>
      <c r="E3" s="17" t="s">
        <v>25</v>
      </c>
      <c r="F3" s="17" t="s">
        <v>26</v>
      </c>
      <c r="G3" s="17" t="s">
        <v>27</v>
      </c>
      <c r="H3" s="17" t="s">
        <v>28</v>
      </c>
      <c r="I3" s="17" t="s">
        <v>29</v>
      </c>
    </row>
    <row r="4" spans="2:9" ht="21.75" customHeight="1" x14ac:dyDescent="0.2">
      <c r="B4" s="8" t="s">
        <v>30</v>
      </c>
      <c r="C4" s="7" t="s">
        <v>31</v>
      </c>
      <c r="D4" s="18" t="s">
        <v>32</v>
      </c>
      <c r="E4" s="19" t="s">
        <v>33</v>
      </c>
      <c r="F4" s="20">
        <v>18</v>
      </c>
      <c r="G4" s="20">
        <v>16.5</v>
      </c>
      <c r="H4" s="21">
        <f t="shared" ref="H4:H9" si="0">IF(OR(G4=0,F4=0),"-",ROUND(G4/F4*100,1))</f>
        <v>91.7</v>
      </c>
      <c r="I4" s="22" t="str">
        <f t="shared" ref="I4:I12" si="1">IF(H4="","-",IF(H4&gt;=90,"✅ LOGRADO",IF(H4&gt;=75,"⚠️ EN RIESGO","❌ CRÍTICO")))</f>
        <v>✅ LOGRADO</v>
      </c>
    </row>
    <row r="5" spans="2:9" ht="21.75" customHeight="1" x14ac:dyDescent="0.2">
      <c r="B5" s="8"/>
      <c r="C5" s="8"/>
      <c r="D5" s="18" t="s">
        <v>34</v>
      </c>
      <c r="E5" s="19" t="s">
        <v>33</v>
      </c>
      <c r="F5" s="20">
        <v>22</v>
      </c>
      <c r="G5" s="20">
        <v>19.8</v>
      </c>
      <c r="H5" s="21">
        <f t="shared" si="0"/>
        <v>90</v>
      </c>
      <c r="I5" s="22" t="str">
        <f t="shared" si="1"/>
        <v>✅ LOGRADO</v>
      </c>
    </row>
    <row r="6" spans="2:9" ht="21.75" customHeight="1" x14ac:dyDescent="0.2">
      <c r="B6" s="8"/>
      <c r="C6" s="8"/>
      <c r="D6" s="18" t="s">
        <v>35</v>
      </c>
      <c r="E6" s="19" t="s">
        <v>36</v>
      </c>
      <c r="F6" s="20">
        <v>2.1</v>
      </c>
      <c r="G6" s="20">
        <v>1.87</v>
      </c>
      <c r="H6" s="21">
        <f t="shared" si="0"/>
        <v>89</v>
      </c>
      <c r="I6" s="22" t="str">
        <f t="shared" si="1"/>
        <v>⚠️ EN RIESGO</v>
      </c>
    </row>
    <row r="7" spans="2:9" ht="21.75" customHeight="1" x14ac:dyDescent="0.2">
      <c r="B7" s="8"/>
      <c r="C7" s="6" t="s">
        <v>37</v>
      </c>
      <c r="D7" s="23" t="s">
        <v>38</v>
      </c>
      <c r="E7" s="24" t="s">
        <v>33</v>
      </c>
      <c r="F7" s="25">
        <v>15</v>
      </c>
      <c r="G7" s="25">
        <v>12.3</v>
      </c>
      <c r="H7" s="26">
        <f t="shared" si="0"/>
        <v>82</v>
      </c>
      <c r="I7" s="27" t="str">
        <f t="shared" si="1"/>
        <v>⚠️ EN RIESGO</v>
      </c>
    </row>
    <row r="8" spans="2:9" ht="21.75" customHeight="1" x14ac:dyDescent="0.2">
      <c r="B8" s="8"/>
      <c r="C8" s="8"/>
      <c r="D8" s="23" t="s">
        <v>39</v>
      </c>
      <c r="E8" s="24" t="s">
        <v>36</v>
      </c>
      <c r="F8" s="25">
        <v>8.5</v>
      </c>
      <c r="G8" s="25">
        <v>7.9</v>
      </c>
      <c r="H8" s="26">
        <f t="shared" si="0"/>
        <v>92.9</v>
      </c>
      <c r="I8" s="27" t="str">
        <f t="shared" si="1"/>
        <v>✅ LOGRADO</v>
      </c>
    </row>
    <row r="9" spans="2:9" ht="21.75" customHeight="1" x14ac:dyDescent="0.2">
      <c r="B9" s="8"/>
      <c r="C9" s="8"/>
      <c r="D9" s="23" t="s">
        <v>40</v>
      </c>
      <c r="E9" s="24" t="s">
        <v>33</v>
      </c>
      <c r="F9" s="25">
        <v>20</v>
      </c>
      <c r="G9" s="25">
        <v>15.6</v>
      </c>
      <c r="H9" s="26">
        <f t="shared" si="0"/>
        <v>78</v>
      </c>
      <c r="I9" s="27" t="str">
        <f t="shared" si="1"/>
        <v>⚠️ EN RIESGO</v>
      </c>
    </row>
    <row r="10" spans="2:9" ht="21.75" customHeight="1" x14ac:dyDescent="0.2">
      <c r="B10" s="8"/>
      <c r="C10" s="7" t="s">
        <v>41</v>
      </c>
      <c r="D10" s="18" t="s">
        <v>42</v>
      </c>
      <c r="E10" s="19" t="s">
        <v>33</v>
      </c>
      <c r="F10" s="20">
        <v>55</v>
      </c>
      <c r="G10" s="20">
        <v>58.2</v>
      </c>
      <c r="H10" s="21">
        <f>IF(OR(G10=0,F10=0),"-",ROUND(F10/G10*100,1))</f>
        <v>94.5</v>
      </c>
      <c r="I10" s="22" t="str">
        <f t="shared" si="1"/>
        <v>✅ LOGRADO</v>
      </c>
    </row>
    <row r="11" spans="2:9" ht="21.75" customHeight="1" x14ac:dyDescent="0.2">
      <c r="B11" s="8"/>
      <c r="C11" s="8"/>
      <c r="D11" s="18" t="s">
        <v>43</v>
      </c>
      <c r="E11" s="19" t="s">
        <v>44</v>
      </c>
      <c r="F11" s="20">
        <v>350</v>
      </c>
      <c r="G11" s="20">
        <v>412</v>
      </c>
      <c r="H11" s="21">
        <f>IF(OR(G11=0,F11=0),"-",ROUND(F11/G11*100,1))</f>
        <v>85</v>
      </c>
      <c r="I11" s="22" t="str">
        <f t="shared" si="1"/>
        <v>⚠️ EN RIESGO</v>
      </c>
    </row>
    <row r="12" spans="2:9" ht="21.75" customHeight="1" x14ac:dyDescent="0.2">
      <c r="B12" s="8"/>
      <c r="C12" s="8"/>
      <c r="D12" s="18" t="s">
        <v>45</v>
      </c>
      <c r="E12" s="19" t="s">
        <v>33</v>
      </c>
      <c r="F12" s="20">
        <v>9</v>
      </c>
      <c r="G12" s="20">
        <v>7.8</v>
      </c>
      <c r="H12" s="21">
        <f>IF(OR(G12=0,F12=0),"-",ROUND(G12/F12*100,1))</f>
        <v>86.7</v>
      </c>
      <c r="I12" s="22" t="str">
        <f t="shared" si="1"/>
        <v>⚠️ EN RIESGO</v>
      </c>
    </row>
    <row r="13" spans="2:9" ht="6" customHeight="1" x14ac:dyDescent="0.2"/>
    <row r="14" spans="2:9" ht="21.75" customHeight="1" x14ac:dyDescent="0.2">
      <c r="B14" s="5" t="s">
        <v>46</v>
      </c>
      <c r="C14" s="4" t="s">
        <v>47</v>
      </c>
      <c r="D14" s="28" t="s">
        <v>48</v>
      </c>
      <c r="E14" s="29" t="s">
        <v>49</v>
      </c>
      <c r="F14" s="30">
        <v>65</v>
      </c>
      <c r="G14" s="30">
        <v>58</v>
      </c>
      <c r="H14" s="31">
        <f>IF(OR(G14=0,F14=0),"-",ROUND(G14/F14*100,1))</f>
        <v>89.2</v>
      </c>
      <c r="I14" s="32" t="str">
        <f t="shared" ref="I14:I22" si="2">IF(H14="","-",IF(H14&gt;=90,"✅ LOGRADO",IF(H14&gt;=75,"⚠️ EN RIESGO","❌ CRÍTICO")))</f>
        <v>⚠️ EN RIESGO</v>
      </c>
    </row>
    <row r="15" spans="2:9" ht="21.75" customHeight="1" x14ac:dyDescent="0.2">
      <c r="B15" s="5"/>
      <c r="C15" s="5"/>
      <c r="D15" s="28" t="s">
        <v>50</v>
      </c>
      <c r="E15" s="29" t="s">
        <v>33</v>
      </c>
      <c r="F15" s="30">
        <v>88</v>
      </c>
      <c r="G15" s="30">
        <v>84</v>
      </c>
      <c r="H15" s="31">
        <f>IF(OR(G15=0,F15=0),"-",ROUND(G15/F15*100,1))</f>
        <v>95.5</v>
      </c>
      <c r="I15" s="32" t="str">
        <f t="shared" si="2"/>
        <v>✅ LOGRADO</v>
      </c>
    </row>
    <row r="16" spans="2:9" ht="21.75" customHeight="1" x14ac:dyDescent="0.2">
      <c r="B16" s="5"/>
      <c r="C16" s="5"/>
      <c r="D16" s="28" t="s">
        <v>51</v>
      </c>
      <c r="E16" s="29" t="s">
        <v>52</v>
      </c>
      <c r="F16" s="30">
        <v>2</v>
      </c>
      <c r="G16" s="30">
        <v>2.8</v>
      </c>
      <c r="H16" s="31">
        <f>IF(OR(G16=0,F16=0),"-",ROUND(F16/G16*100,1))</f>
        <v>71.400000000000006</v>
      </c>
      <c r="I16" s="32" t="str">
        <f t="shared" si="2"/>
        <v>❌ CRÍTICO</v>
      </c>
    </row>
    <row r="17" spans="2:9" ht="21.75" customHeight="1" x14ac:dyDescent="0.2">
      <c r="B17" s="5"/>
      <c r="C17" s="3" t="s">
        <v>53</v>
      </c>
      <c r="D17" s="33" t="s">
        <v>54</v>
      </c>
      <c r="E17" s="34" t="s">
        <v>33</v>
      </c>
      <c r="F17" s="35">
        <v>90</v>
      </c>
      <c r="G17" s="35">
        <v>87</v>
      </c>
      <c r="H17" s="36">
        <f>IF(OR(G17=0,F17=0),"-",ROUND(G17/F17*100,1))</f>
        <v>96.7</v>
      </c>
      <c r="I17" s="37" t="str">
        <f t="shared" si="2"/>
        <v>✅ LOGRADO</v>
      </c>
    </row>
    <row r="18" spans="2:9" ht="21.75" customHeight="1" x14ac:dyDescent="0.2">
      <c r="B18" s="5"/>
      <c r="C18" s="5"/>
      <c r="D18" s="33" t="s">
        <v>55</v>
      </c>
      <c r="E18" s="34" t="s">
        <v>33</v>
      </c>
      <c r="F18" s="35">
        <v>55</v>
      </c>
      <c r="G18" s="35">
        <v>49</v>
      </c>
      <c r="H18" s="36">
        <f>IF(OR(G18=0,F18=0),"-",ROUND(G18/F18*100,1))</f>
        <v>89.1</v>
      </c>
      <c r="I18" s="37" t="str">
        <f t="shared" si="2"/>
        <v>⚠️ EN RIESGO</v>
      </c>
    </row>
    <row r="19" spans="2:9" ht="21.75" customHeight="1" x14ac:dyDescent="0.2">
      <c r="B19" s="5"/>
      <c r="C19" s="5"/>
      <c r="D19" s="33" t="s">
        <v>56</v>
      </c>
      <c r="E19" s="34" t="s">
        <v>33</v>
      </c>
      <c r="F19" s="35">
        <v>5</v>
      </c>
      <c r="G19" s="35">
        <v>7.2</v>
      </c>
      <c r="H19" s="36">
        <f>IF(OR(G19=0,F19=0),"-",ROUND(F19/G19*100,1))</f>
        <v>69.400000000000006</v>
      </c>
      <c r="I19" s="37" t="str">
        <f t="shared" si="2"/>
        <v>❌ CRÍTICO</v>
      </c>
    </row>
    <row r="20" spans="2:9" ht="21.75" customHeight="1" x14ac:dyDescent="0.2">
      <c r="B20" s="5"/>
      <c r="C20" s="4" t="s">
        <v>57</v>
      </c>
      <c r="D20" s="28" t="s">
        <v>58</v>
      </c>
      <c r="E20" s="29" t="s">
        <v>59</v>
      </c>
      <c r="F20" s="30">
        <v>120</v>
      </c>
      <c r="G20" s="30">
        <v>105</v>
      </c>
      <c r="H20" s="31">
        <f>IF(OR(G20=0,F20=0),"-",ROUND(G20/F20*100,1))</f>
        <v>87.5</v>
      </c>
      <c r="I20" s="32" t="str">
        <f t="shared" si="2"/>
        <v>⚠️ EN RIESGO</v>
      </c>
    </row>
    <row r="21" spans="2:9" ht="21.75" customHeight="1" x14ac:dyDescent="0.2">
      <c r="B21" s="5"/>
      <c r="C21" s="5"/>
      <c r="D21" s="28" t="s">
        <v>60</v>
      </c>
      <c r="E21" s="29" t="s">
        <v>33</v>
      </c>
      <c r="F21" s="30">
        <v>8.5</v>
      </c>
      <c r="G21" s="30">
        <v>7.8</v>
      </c>
      <c r="H21" s="31">
        <f>IF(OR(G21=0,F21=0),"-",ROUND(G21/F21*100,1))</f>
        <v>91.8</v>
      </c>
      <c r="I21" s="32" t="str">
        <f t="shared" si="2"/>
        <v>✅ LOGRADO</v>
      </c>
    </row>
    <row r="22" spans="2:9" ht="21.75" customHeight="1" x14ac:dyDescent="0.2">
      <c r="B22" s="5"/>
      <c r="C22" s="5"/>
      <c r="D22" s="28" t="s">
        <v>61</v>
      </c>
      <c r="E22" s="29" t="s">
        <v>44</v>
      </c>
      <c r="F22" s="30">
        <v>180</v>
      </c>
      <c r="G22" s="30">
        <v>215</v>
      </c>
      <c r="H22" s="31">
        <f>IF(OR(G22=0,F22=0),"-",ROUND(F22/G22*100,1))</f>
        <v>83.7</v>
      </c>
      <c r="I22" s="32" t="str">
        <f t="shared" si="2"/>
        <v>⚠️ EN RIESGO</v>
      </c>
    </row>
    <row r="23" spans="2:9" ht="6" customHeight="1" x14ac:dyDescent="0.2"/>
    <row r="24" spans="2:9" ht="21.75" customHeight="1" x14ac:dyDescent="0.2">
      <c r="B24" s="2" t="s">
        <v>62</v>
      </c>
      <c r="C24" s="1" t="s">
        <v>63</v>
      </c>
      <c r="D24" s="38" t="s">
        <v>64</v>
      </c>
      <c r="E24" s="39" t="s">
        <v>52</v>
      </c>
      <c r="F24" s="40">
        <v>3</v>
      </c>
      <c r="G24" s="40">
        <v>3.5</v>
      </c>
      <c r="H24" s="41">
        <f>IF(OR(G24=0,F24=0),"-",ROUND(F24/G24*100,1))</f>
        <v>85.7</v>
      </c>
      <c r="I24" s="42" t="str">
        <f t="shared" ref="I24:I32" si="3">IF(H24="","-",IF(H24&gt;=90,"✅ LOGRADO",IF(H24&gt;=75,"⚠️ EN RIESGO","❌ CRÍTICO")))</f>
        <v>⚠️ EN RIESGO</v>
      </c>
    </row>
    <row r="25" spans="2:9" ht="21.75" customHeight="1" x14ac:dyDescent="0.2">
      <c r="B25" s="2"/>
      <c r="C25" s="2"/>
      <c r="D25" s="38" t="s">
        <v>65</v>
      </c>
      <c r="E25" s="39" t="s">
        <v>33</v>
      </c>
      <c r="F25" s="40">
        <v>2</v>
      </c>
      <c r="G25" s="40">
        <v>2.8</v>
      </c>
      <c r="H25" s="41">
        <f>IF(OR(G25=0,F25=0),"-",ROUND(F25/G25*100,1))</f>
        <v>71.400000000000006</v>
      </c>
      <c r="I25" s="42" t="str">
        <f t="shared" si="3"/>
        <v>❌ CRÍTICO</v>
      </c>
    </row>
    <row r="26" spans="2:9" ht="21.75" customHeight="1" x14ac:dyDescent="0.2">
      <c r="B26" s="2"/>
      <c r="C26" s="2"/>
      <c r="D26" s="38" t="s">
        <v>66</v>
      </c>
      <c r="E26" s="39" t="s">
        <v>36</v>
      </c>
      <c r="F26" s="40">
        <v>0.25</v>
      </c>
      <c r="G26" s="40">
        <v>0.22</v>
      </c>
      <c r="H26" s="41">
        <f>IF(OR(G26=0,F26=0),"-",ROUND(G26/F26*100,1))</f>
        <v>88</v>
      </c>
      <c r="I26" s="42" t="str">
        <f t="shared" si="3"/>
        <v>⚠️ EN RIESGO</v>
      </c>
    </row>
    <row r="27" spans="2:9" ht="21.75" customHeight="1" x14ac:dyDescent="0.2">
      <c r="B27" s="2"/>
      <c r="C27" s="91" t="s">
        <v>67</v>
      </c>
      <c r="D27" s="43" t="s">
        <v>68</v>
      </c>
      <c r="E27" s="44" t="s">
        <v>59</v>
      </c>
      <c r="F27" s="45">
        <v>4</v>
      </c>
      <c r="G27" s="45">
        <v>3</v>
      </c>
      <c r="H27" s="46">
        <f>IF(OR(G27=0,F27=0),"-",ROUND(G27/F27*100,1))</f>
        <v>75</v>
      </c>
      <c r="I27" s="47" t="str">
        <f t="shared" si="3"/>
        <v>⚠️ EN RIESGO</v>
      </c>
    </row>
    <row r="28" spans="2:9" ht="21.75" customHeight="1" x14ac:dyDescent="0.2">
      <c r="B28" s="2"/>
      <c r="C28" s="2"/>
      <c r="D28" s="43" t="s">
        <v>69</v>
      </c>
      <c r="E28" s="44" t="s">
        <v>70</v>
      </c>
      <c r="F28" s="45">
        <v>12</v>
      </c>
      <c r="G28" s="45">
        <v>15</v>
      </c>
      <c r="H28" s="46">
        <f>IF(OR(G28=0,F28=0),"-",ROUND(F28/G28*100,1))</f>
        <v>80</v>
      </c>
      <c r="I28" s="47" t="str">
        <f t="shared" si="3"/>
        <v>⚠️ EN RIESGO</v>
      </c>
    </row>
    <row r="29" spans="2:9" ht="21.75" customHeight="1" x14ac:dyDescent="0.2">
      <c r="B29" s="2"/>
      <c r="C29" s="2"/>
      <c r="D29" s="43" t="s">
        <v>71</v>
      </c>
      <c r="E29" s="44" t="s">
        <v>33</v>
      </c>
      <c r="F29" s="45">
        <v>25</v>
      </c>
      <c r="G29" s="45">
        <v>18</v>
      </c>
      <c r="H29" s="46">
        <f>IF(OR(G29=0,F29=0),"-",ROUND(G29/F29*100,1))</f>
        <v>72</v>
      </c>
      <c r="I29" s="47" t="str">
        <f t="shared" si="3"/>
        <v>❌ CRÍTICO</v>
      </c>
    </row>
    <row r="30" spans="2:9" ht="21.75" customHeight="1" x14ac:dyDescent="0.2">
      <c r="B30" s="2"/>
      <c r="C30" s="1" t="s">
        <v>72</v>
      </c>
      <c r="D30" s="38" t="s">
        <v>73</v>
      </c>
      <c r="E30" s="39" t="s">
        <v>33</v>
      </c>
      <c r="F30" s="40">
        <v>95</v>
      </c>
      <c r="G30" s="40">
        <v>92</v>
      </c>
      <c r="H30" s="41">
        <f>IF(OR(G30=0,F30=0),"-",ROUND(G30/F30*100,1))</f>
        <v>96.8</v>
      </c>
      <c r="I30" s="42" t="str">
        <f t="shared" si="3"/>
        <v>✅ LOGRADO</v>
      </c>
    </row>
    <row r="31" spans="2:9" ht="21.75" customHeight="1" x14ac:dyDescent="0.2">
      <c r="B31" s="2"/>
      <c r="C31" s="2"/>
      <c r="D31" s="38" t="s">
        <v>74</v>
      </c>
      <c r="E31" s="39" t="s">
        <v>59</v>
      </c>
      <c r="F31" s="40">
        <v>5</v>
      </c>
      <c r="G31" s="40">
        <v>8</v>
      </c>
      <c r="H31" s="41">
        <f>IF(OR(G31=0,F31=0),"-",ROUND(F31/G31*100,1))</f>
        <v>62.5</v>
      </c>
      <c r="I31" s="42" t="str">
        <f t="shared" si="3"/>
        <v>❌ CRÍTICO</v>
      </c>
    </row>
    <row r="32" spans="2:9" ht="21.75" customHeight="1" x14ac:dyDescent="0.2">
      <c r="B32" s="2"/>
      <c r="C32" s="2"/>
      <c r="D32" s="38" t="s">
        <v>75</v>
      </c>
      <c r="E32" s="39" t="s">
        <v>33</v>
      </c>
      <c r="F32" s="40">
        <v>12</v>
      </c>
      <c r="G32" s="40">
        <v>14.5</v>
      </c>
      <c r="H32" s="41">
        <f>IF(OR(G32=0,F32=0),"-",ROUND(F32/G32*100,1))</f>
        <v>82.8</v>
      </c>
      <c r="I32" s="42" t="str">
        <f t="shared" si="3"/>
        <v>⚠️ EN RIESGO</v>
      </c>
    </row>
    <row r="33" spans="2:9" ht="6" customHeight="1" x14ac:dyDescent="0.2"/>
    <row r="34" spans="2:9" ht="21.75" customHeight="1" x14ac:dyDescent="0.2">
      <c r="B34" s="92" t="s">
        <v>76</v>
      </c>
      <c r="C34" s="93" t="s">
        <v>77</v>
      </c>
      <c r="D34" s="48" t="s">
        <v>78</v>
      </c>
      <c r="E34" s="49" t="s">
        <v>79</v>
      </c>
      <c r="F34" s="50">
        <v>40</v>
      </c>
      <c r="G34" s="50">
        <v>35</v>
      </c>
      <c r="H34" s="51">
        <f>IF(OR(G34=0,F34=0),"-",ROUND(G34/F34*100,1))</f>
        <v>87.5</v>
      </c>
      <c r="I34" s="52" t="str">
        <f t="shared" ref="I34:I42" si="4">IF(H34="","-",IF(H34&gt;=90,"✅ LOGRADO",IF(H34&gt;=75,"⚠️ EN RIESGO","❌ CRÍTICO")))</f>
        <v>⚠️ EN RIESGO</v>
      </c>
    </row>
    <row r="35" spans="2:9" ht="21.75" customHeight="1" x14ac:dyDescent="0.2">
      <c r="B35" s="92"/>
      <c r="C35" s="92"/>
      <c r="D35" s="48" t="s">
        <v>80</v>
      </c>
      <c r="E35" s="49" t="s">
        <v>33</v>
      </c>
      <c r="F35" s="50">
        <v>80</v>
      </c>
      <c r="G35" s="50">
        <v>72</v>
      </c>
      <c r="H35" s="51">
        <f>IF(OR(G35=0,F35=0),"-",ROUND(G35/F35*100,1))</f>
        <v>90</v>
      </c>
      <c r="I35" s="52" t="str">
        <f t="shared" si="4"/>
        <v>✅ LOGRADO</v>
      </c>
    </row>
    <row r="36" spans="2:9" ht="21.75" customHeight="1" x14ac:dyDescent="0.2">
      <c r="B36" s="92"/>
      <c r="C36" s="92"/>
      <c r="D36" s="48" t="s">
        <v>81</v>
      </c>
      <c r="E36" s="49" t="s">
        <v>33</v>
      </c>
      <c r="F36" s="50">
        <v>85</v>
      </c>
      <c r="G36" s="50">
        <v>74</v>
      </c>
      <c r="H36" s="51">
        <f>IF(OR(G36=0,F36=0),"-",ROUND(G36/F36*100,1))</f>
        <v>87.1</v>
      </c>
      <c r="I36" s="52" t="str">
        <f t="shared" si="4"/>
        <v>⚠️ EN RIESGO</v>
      </c>
    </row>
    <row r="37" spans="2:9" ht="21.75" customHeight="1" x14ac:dyDescent="0.2">
      <c r="B37" s="92"/>
      <c r="C37" s="94" t="s">
        <v>82</v>
      </c>
      <c r="D37" s="53" t="s">
        <v>83</v>
      </c>
      <c r="E37" s="54" t="s">
        <v>33</v>
      </c>
      <c r="F37" s="55">
        <v>75</v>
      </c>
      <c r="G37" s="55">
        <v>68</v>
      </c>
      <c r="H37" s="56">
        <f>IF(OR(G37=0,F37=0),"-",ROUND(G37/F37*100,1))</f>
        <v>90.7</v>
      </c>
      <c r="I37" s="57" t="str">
        <f t="shared" si="4"/>
        <v>✅ LOGRADO</v>
      </c>
    </row>
    <row r="38" spans="2:9" ht="21.75" customHeight="1" x14ac:dyDescent="0.2">
      <c r="B38" s="92"/>
      <c r="C38" s="92"/>
      <c r="D38" s="53" t="s">
        <v>84</v>
      </c>
      <c r="E38" s="54" t="s">
        <v>33</v>
      </c>
      <c r="F38" s="55">
        <v>8</v>
      </c>
      <c r="G38" s="55">
        <v>10</v>
      </c>
      <c r="H38" s="56">
        <f>IF(OR(G38=0,F38=0),"-",ROUND(F38/G38*100,1))</f>
        <v>80</v>
      </c>
      <c r="I38" s="57" t="str">
        <f t="shared" si="4"/>
        <v>⚠️ EN RIESGO</v>
      </c>
    </row>
    <row r="39" spans="2:9" ht="21.75" customHeight="1" x14ac:dyDescent="0.2">
      <c r="B39" s="92"/>
      <c r="C39" s="92"/>
      <c r="D39" s="53" t="s">
        <v>85</v>
      </c>
      <c r="E39" s="54" t="s">
        <v>33</v>
      </c>
      <c r="F39" s="55">
        <v>95</v>
      </c>
      <c r="G39" s="55">
        <v>88</v>
      </c>
      <c r="H39" s="56">
        <f>IF(OR(G39=0,F39=0),"-",ROUND(G39/F39*100,1))</f>
        <v>92.6</v>
      </c>
      <c r="I39" s="57" t="str">
        <f t="shared" si="4"/>
        <v>✅ LOGRADO</v>
      </c>
    </row>
    <row r="40" spans="2:9" ht="21.75" customHeight="1" x14ac:dyDescent="0.2">
      <c r="B40" s="92"/>
      <c r="C40" s="93" t="s">
        <v>86</v>
      </c>
      <c r="D40" s="48" t="s">
        <v>87</v>
      </c>
      <c r="E40" s="49" t="s">
        <v>59</v>
      </c>
      <c r="F40" s="50">
        <v>6</v>
      </c>
      <c r="G40" s="50">
        <v>5</v>
      </c>
      <c r="H40" s="51">
        <f>IF(OR(G40=0,F40=0),"-",ROUND(G40/F40*100,1))</f>
        <v>83.3</v>
      </c>
      <c r="I40" s="52" t="str">
        <f t="shared" si="4"/>
        <v>⚠️ EN RIESGO</v>
      </c>
    </row>
    <row r="41" spans="2:9" ht="21.75" customHeight="1" x14ac:dyDescent="0.2">
      <c r="B41" s="92"/>
      <c r="C41" s="92"/>
      <c r="D41" s="48" t="s">
        <v>88</v>
      </c>
      <c r="E41" s="49" t="s">
        <v>33</v>
      </c>
      <c r="F41" s="50">
        <v>5</v>
      </c>
      <c r="G41" s="50">
        <v>3.8</v>
      </c>
      <c r="H41" s="51">
        <f>IF(OR(G41=0,F41=0),"-",ROUND(G41/F41*100,1))</f>
        <v>76</v>
      </c>
      <c r="I41" s="52" t="str">
        <f t="shared" si="4"/>
        <v>⚠️ EN RIESGO</v>
      </c>
    </row>
    <row r="42" spans="2:9" ht="21.75" customHeight="1" x14ac:dyDescent="0.2">
      <c r="B42" s="92"/>
      <c r="C42" s="92"/>
      <c r="D42" s="48" t="s">
        <v>89</v>
      </c>
      <c r="E42" s="49" t="s">
        <v>59</v>
      </c>
      <c r="F42" s="50">
        <v>24</v>
      </c>
      <c r="G42" s="50">
        <v>16</v>
      </c>
      <c r="H42" s="51">
        <f>IF(OR(G42=0,F42=0),"-",ROUND(G42/F42*100,1))</f>
        <v>66.7</v>
      </c>
      <c r="I42" s="52" t="str">
        <f t="shared" si="4"/>
        <v>❌ CRÍTICO</v>
      </c>
    </row>
    <row r="43" spans="2:9" ht="6" customHeight="1" x14ac:dyDescent="0.2"/>
    <row r="44" spans="2:9" ht="24" customHeight="1" x14ac:dyDescent="0.2">
      <c r="B44" s="95" t="s">
        <v>90</v>
      </c>
      <c r="C44" s="95"/>
      <c r="D44" s="95"/>
      <c r="E44" s="95"/>
      <c r="F44" s="95"/>
      <c r="G44" s="95"/>
      <c r="H44" s="96" t="s">
        <v>91</v>
      </c>
      <c r="I44" s="96"/>
    </row>
  </sheetData>
  <mergeCells count="19">
    <mergeCell ref="H44:I44"/>
    <mergeCell ref="B34:B42"/>
    <mergeCell ref="C34:C36"/>
    <mergeCell ref="C37:C39"/>
    <mergeCell ref="C40:C42"/>
    <mergeCell ref="B44:G44"/>
    <mergeCell ref="B14:B22"/>
    <mergeCell ref="C14:C16"/>
    <mergeCell ref="C17:C19"/>
    <mergeCell ref="C20:C22"/>
    <mergeCell ref="B24:B32"/>
    <mergeCell ref="C24:C26"/>
    <mergeCell ref="C27:C29"/>
    <mergeCell ref="C30:C32"/>
    <mergeCell ref="B2:I2"/>
    <mergeCell ref="B4:B12"/>
    <mergeCell ref="C4:C6"/>
    <mergeCell ref="C7:C9"/>
    <mergeCell ref="C10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6"/>
  <sheetViews>
    <sheetView showGridLines="0" tabSelected="1" zoomScale="163" zoomScaleNormal="100" workbookViewId="0"/>
  </sheetViews>
  <sheetFormatPr baseColWidth="10" defaultColWidth="8.6640625" defaultRowHeight="15" x14ac:dyDescent="0.2"/>
  <cols>
    <col min="1" max="1" width="3" customWidth="1"/>
    <col min="2" max="2" width="22" customWidth="1"/>
    <col min="3" max="3" width="40" customWidth="1"/>
    <col min="4" max="4" width="11" customWidth="1"/>
    <col min="5" max="6" width="13" customWidth="1"/>
    <col min="7" max="7" width="15" customWidth="1"/>
    <col min="8" max="8" width="18" customWidth="1"/>
    <col min="9" max="9" width="28" customWidth="1"/>
  </cols>
  <sheetData>
    <row r="1" spans="2:9" ht="33.75" customHeight="1" x14ac:dyDescent="0.2">
      <c r="B1" s="97" t="s">
        <v>92</v>
      </c>
      <c r="C1" s="97"/>
      <c r="D1" s="97"/>
      <c r="E1" s="97"/>
      <c r="F1" s="97"/>
      <c r="G1" s="97"/>
      <c r="H1" s="97"/>
      <c r="I1" s="97"/>
    </row>
    <row r="2" spans="2:9" ht="19.5" customHeight="1" x14ac:dyDescent="0.2">
      <c r="B2" s="58" t="s">
        <v>23</v>
      </c>
      <c r="C2" s="58" t="s">
        <v>24</v>
      </c>
      <c r="D2" s="58" t="s">
        <v>25</v>
      </c>
      <c r="E2" s="58" t="s">
        <v>93</v>
      </c>
      <c r="F2" s="58" t="s">
        <v>94</v>
      </c>
      <c r="G2" s="58" t="s">
        <v>28</v>
      </c>
      <c r="H2" s="58" t="s">
        <v>29</v>
      </c>
      <c r="I2" s="58" t="s">
        <v>95</v>
      </c>
    </row>
    <row r="3" spans="2:9" ht="25.5" customHeight="1" x14ac:dyDescent="0.2">
      <c r="B3" s="98" t="s">
        <v>31</v>
      </c>
      <c r="C3" s="18" t="s">
        <v>32</v>
      </c>
      <c r="D3" s="19" t="s">
        <v>33</v>
      </c>
      <c r="E3" s="20">
        <v>18</v>
      </c>
      <c r="F3" s="20">
        <v>16.5</v>
      </c>
      <c r="G3" s="59">
        <f>IF(OR(F3=0,E3=0),"-",ROUND(F3/E3*100,1))</f>
        <v>91.7</v>
      </c>
      <c r="H3" s="22" t="str">
        <f>IF(G3="","-",IF(G3&gt;=90,"✅ LOGRADO",IF(G3&gt;=75,"⚠️ EN RIESGO","❌ CRÍTICO")))</f>
        <v>✅ LOGRADO</v>
      </c>
      <c r="I3" s="60" t="s">
        <v>96</v>
      </c>
    </row>
    <row r="4" spans="2:9" ht="25.5" customHeight="1" x14ac:dyDescent="0.2">
      <c r="B4" s="98"/>
      <c r="C4" s="18" t="s">
        <v>34</v>
      </c>
      <c r="D4" s="19" t="s">
        <v>33</v>
      </c>
      <c r="E4" s="20">
        <v>22</v>
      </c>
      <c r="F4" s="20">
        <v>19.8</v>
      </c>
      <c r="G4" s="59">
        <f>IF(OR(F4=0,E4=0),"-",ROUND(F4/E4*100,1))</f>
        <v>90</v>
      </c>
      <c r="H4" s="22" t="str">
        <f>IF(G4="","-",IF(G4&gt;=90,"✅ LOGRADO",IF(G4&gt;=75,"⚠️ EN RIESGO","❌ CRÍTICO")))</f>
        <v>✅ LOGRADO</v>
      </c>
      <c r="I4" s="60" t="s">
        <v>97</v>
      </c>
    </row>
    <row r="5" spans="2:9" ht="25.5" customHeight="1" x14ac:dyDescent="0.2">
      <c r="B5" s="98"/>
      <c r="C5" s="18" t="s">
        <v>35</v>
      </c>
      <c r="D5" s="19" t="s">
        <v>36</v>
      </c>
      <c r="E5" s="20">
        <v>2.1</v>
      </c>
      <c r="F5" s="20">
        <v>1.87</v>
      </c>
      <c r="G5" s="59">
        <f>IF(OR(F5=0,E5=0),"-",ROUND(F5/E5*100,1))</f>
        <v>89</v>
      </c>
      <c r="H5" s="22" t="str">
        <f>IF(G5="","-",IF(G5&gt;=90,"✅ LOGRADO",IF(G5&gt;=75,"⚠️ EN RIESGO","❌ CRÍTICO")))</f>
        <v>⚠️ EN RIESGO</v>
      </c>
      <c r="I5" s="60" t="s">
        <v>98</v>
      </c>
    </row>
    <row r="6" spans="2:9" ht="4.5" customHeight="1" x14ac:dyDescent="0.2"/>
    <row r="7" spans="2:9" ht="25.5" customHeight="1" x14ac:dyDescent="0.2">
      <c r="B7" s="98" t="s">
        <v>37</v>
      </c>
      <c r="C7" s="23" t="s">
        <v>38</v>
      </c>
      <c r="D7" s="24" t="s">
        <v>33</v>
      </c>
      <c r="E7" s="25">
        <v>15</v>
      </c>
      <c r="F7" s="25">
        <v>12.3</v>
      </c>
      <c r="G7" s="61">
        <f>IF(OR(F7=0,E7=0),"-",ROUND(F7/E7*100,1))</f>
        <v>82</v>
      </c>
      <c r="H7" s="27" t="str">
        <f>IF(G7="","-",IF(G7&gt;=90,"✅ LOGRADO",IF(G7&gt;=75,"⚠️ EN RIESGO","❌ CRÍTICO")))</f>
        <v>⚠️ EN RIESGO</v>
      </c>
      <c r="I7" s="62" t="s">
        <v>99</v>
      </c>
    </row>
    <row r="8" spans="2:9" ht="25.5" customHeight="1" x14ac:dyDescent="0.2">
      <c r="B8" s="98"/>
      <c r="C8" s="23" t="s">
        <v>39</v>
      </c>
      <c r="D8" s="24" t="s">
        <v>36</v>
      </c>
      <c r="E8" s="25">
        <v>8.5</v>
      </c>
      <c r="F8" s="25">
        <v>7.9</v>
      </c>
      <c r="G8" s="61">
        <f>IF(OR(F8=0,E8=0),"-",ROUND(F8/E8*100,1))</f>
        <v>92.9</v>
      </c>
      <c r="H8" s="27" t="str">
        <f>IF(G8="","-",IF(G8&gt;=90,"✅ LOGRADO",IF(G8&gt;=75,"⚠️ EN RIESGO","❌ CRÍTICO")))</f>
        <v>✅ LOGRADO</v>
      </c>
      <c r="I8" s="62" t="s">
        <v>100</v>
      </c>
    </row>
    <row r="9" spans="2:9" ht="25.5" customHeight="1" x14ac:dyDescent="0.2">
      <c r="B9" s="98"/>
      <c r="C9" s="23" t="s">
        <v>40</v>
      </c>
      <c r="D9" s="24" t="s">
        <v>33</v>
      </c>
      <c r="E9" s="25">
        <v>20</v>
      </c>
      <c r="F9" s="25">
        <v>15.6</v>
      </c>
      <c r="G9" s="61">
        <f>IF(OR(F9=0,E9=0),"-",ROUND(F9/E9*100,1))</f>
        <v>78</v>
      </c>
      <c r="H9" s="27" t="str">
        <f>IF(G9="","-",IF(G9&gt;=90,"✅ LOGRADO",IF(G9&gt;=75,"⚠️ EN RIESGO","❌ CRÍTICO")))</f>
        <v>⚠️ EN RIESGO</v>
      </c>
      <c r="I9" s="62" t="s">
        <v>101</v>
      </c>
    </row>
    <row r="10" spans="2:9" ht="4.5" customHeight="1" x14ac:dyDescent="0.2"/>
    <row r="11" spans="2:9" ht="25.5" customHeight="1" x14ac:dyDescent="0.2">
      <c r="B11" s="98" t="s">
        <v>41</v>
      </c>
      <c r="C11" s="18" t="s">
        <v>42</v>
      </c>
      <c r="D11" s="19" t="s">
        <v>33</v>
      </c>
      <c r="E11" s="20">
        <v>55</v>
      </c>
      <c r="F11" s="20">
        <v>58.2</v>
      </c>
      <c r="G11" s="59">
        <f>IF(OR(F11=0,E11=0),"-",ROUND(E11/F11*100,1))</f>
        <v>94.5</v>
      </c>
      <c r="H11" s="22" t="str">
        <f>IF(G11="","-",IF(G11&gt;=90,"✅ LOGRADO",IF(G11&gt;=75,"⚠️ EN RIESGO","❌ CRÍTICO")))</f>
        <v>✅ LOGRADO</v>
      </c>
      <c r="I11" s="60" t="s">
        <v>102</v>
      </c>
    </row>
    <row r="12" spans="2:9" ht="25.5" customHeight="1" x14ac:dyDescent="0.2">
      <c r="B12" s="98"/>
      <c r="C12" s="18" t="s">
        <v>43</v>
      </c>
      <c r="D12" s="19" t="s">
        <v>44</v>
      </c>
      <c r="E12" s="20">
        <v>350</v>
      </c>
      <c r="F12" s="20">
        <v>412</v>
      </c>
      <c r="G12" s="59">
        <f>IF(OR(F12=0,E12=0),"-",ROUND(E12/F12*100,1))</f>
        <v>85</v>
      </c>
      <c r="H12" s="22" t="str">
        <f>IF(G12="","-",IF(G12&gt;=90,"✅ LOGRADO",IF(G12&gt;=75,"⚠️ EN RIESGO","❌ CRÍTICO")))</f>
        <v>⚠️ EN RIESGO</v>
      </c>
      <c r="I12" s="60" t="s">
        <v>103</v>
      </c>
    </row>
    <row r="13" spans="2:9" ht="25.5" customHeight="1" x14ac:dyDescent="0.2">
      <c r="B13" s="98"/>
      <c r="C13" s="18" t="s">
        <v>45</v>
      </c>
      <c r="D13" s="19" t="s">
        <v>33</v>
      </c>
      <c r="E13" s="20">
        <v>9</v>
      </c>
      <c r="F13" s="20">
        <v>7.8</v>
      </c>
      <c r="G13" s="59">
        <f>IF(OR(F13=0,E13=0),"-",ROUND(F13/E13*100,1))</f>
        <v>86.7</v>
      </c>
      <c r="H13" s="22" t="str">
        <f>IF(G13="","-",IF(G13&gt;=90,"✅ LOGRADO",IF(G13&gt;=75,"⚠️ EN RIESGO","❌ CRÍTICO")))</f>
        <v>⚠️ EN RIESGO</v>
      </c>
      <c r="I13" s="60" t="s">
        <v>104</v>
      </c>
    </row>
    <row r="14" spans="2:9" ht="4.5" customHeight="1" x14ac:dyDescent="0.2"/>
    <row r="16" spans="2:9" ht="19.5" customHeight="1" x14ac:dyDescent="0.2">
      <c r="B16" s="99" t="s">
        <v>105</v>
      </c>
      <c r="C16" s="99"/>
      <c r="D16" s="99"/>
      <c r="E16" s="99"/>
      <c r="F16" s="99"/>
      <c r="G16" s="99"/>
      <c r="H16" s="99"/>
      <c r="I16" s="99"/>
    </row>
  </sheetData>
  <mergeCells count="5">
    <mergeCell ref="B1:I1"/>
    <mergeCell ref="B3:B5"/>
    <mergeCell ref="B7:B9"/>
    <mergeCell ref="B11:B13"/>
    <mergeCell ref="B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6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2" customWidth="1"/>
    <col min="3" max="3" width="40" customWidth="1"/>
    <col min="4" max="4" width="11" customWidth="1"/>
    <col min="5" max="6" width="13" customWidth="1"/>
    <col min="7" max="7" width="15" customWidth="1"/>
    <col min="8" max="8" width="18" customWidth="1"/>
    <col min="9" max="9" width="28" customWidth="1"/>
  </cols>
  <sheetData>
    <row r="1" spans="2:9" ht="33.75" customHeight="1" x14ac:dyDescent="0.2">
      <c r="B1" s="100" t="s">
        <v>106</v>
      </c>
      <c r="C1" s="100"/>
      <c r="D1" s="100"/>
      <c r="E1" s="100"/>
      <c r="F1" s="100"/>
      <c r="G1" s="100"/>
      <c r="H1" s="100"/>
      <c r="I1" s="100"/>
    </row>
    <row r="2" spans="2:9" ht="19.5" customHeight="1" x14ac:dyDescent="0.2">
      <c r="B2" s="63" t="s">
        <v>23</v>
      </c>
      <c r="C2" s="63" t="s">
        <v>24</v>
      </c>
      <c r="D2" s="63" t="s">
        <v>25</v>
      </c>
      <c r="E2" s="63" t="s">
        <v>93</v>
      </c>
      <c r="F2" s="63" t="s">
        <v>94</v>
      </c>
      <c r="G2" s="63" t="s">
        <v>28</v>
      </c>
      <c r="H2" s="63" t="s">
        <v>29</v>
      </c>
      <c r="I2" s="63" t="s">
        <v>95</v>
      </c>
    </row>
    <row r="3" spans="2:9" ht="25.5" customHeight="1" x14ac:dyDescent="0.2">
      <c r="B3" s="101" t="s">
        <v>47</v>
      </c>
      <c r="C3" s="28" t="s">
        <v>48</v>
      </c>
      <c r="D3" s="29" t="s">
        <v>49</v>
      </c>
      <c r="E3" s="30">
        <v>65</v>
      </c>
      <c r="F3" s="30">
        <v>58</v>
      </c>
      <c r="G3" s="64">
        <f>IF(OR(F3=0,E3=0),"-",ROUND(F3/E3*100,1))</f>
        <v>89.2</v>
      </c>
      <c r="H3" s="32" t="str">
        <f>IF(G3="","-",IF(G3&gt;=90,"✅ LOGRADO",IF(G3&gt;=75,"⚠️ EN RIESGO","❌ CRÍTICO")))</f>
        <v>⚠️ EN RIESGO</v>
      </c>
      <c r="I3" s="65" t="s">
        <v>107</v>
      </c>
    </row>
    <row r="4" spans="2:9" ht="25.5" customHeight="1" x14ac:dyDescent="0.2">
      <c r="B4" s="101"/>
      <c r="C4" s="28" t="s">
        <v>50</v>
      </c>
      <c r="D4" s="29" t="s">
        <v>33</v>
      </c>
      <c r="E4" s="30">
        <v>88</v>
      </c>
      <c r="F4" s="30">
        <v>84</v>
      </c>
      <c r="G4" s="64">
        <f>IF(OR(F4=0,E4=0),"-",ROUND(F4/E4*100,1))</f>
        <v>95.5</v>
      </c>
      <c r="H4" s="32" t="str">
        <f>IF(G4="","-",IF(G4&gt;=90,"✅ LOGRADO",IF(G4&gt;=75,"⚠️ EN RIESGO","❌ CRÍTICO")))</f>
        <v>✅ LOGRADO</v>
      </c>
      <c r="I4" s="65" t="s">
        <v>108</v>
      </c>
    </row>
    <row r="5" spans="2:9" ht="25.5" customHeight="1" x14ac:dyDescent="0.2">
      <c r="B5" s="101"/>
      <c r="C5" s="28" t="s">
        <v>51</v>
      </c>
      <c r="D5" s="29" t="s">
        <v>52</v>
      </c>
      <c r="E5" s="30">
        <v>2</v>
      </c>
      <c r="F5" s="30">
        <v>2.8</v>
      </c>
      <c r="G5" s="64">
        <f>IF(OR(F5=0,E5=0),"-",ROUND(E5/F5*100,1))</f>
        <v>71.400000000000006</v>
      </c>
      <c r="H5" s="32" t="str">
        <f>IF(G5="","-",IF(G5&gt;=90,"✅ LOGRADO",IF(G5&gt;=75,"⚠️ EN RIESGO","❌ CRÍTICO")))</f>
        <v>❌ CRÍTICO</v>
      </c>
      <c r="I5" s="65" t="s">
        <v>109</v>
      </c>
    </row>
    <row r="6" spans="2:9" ht="4.5" customHeight="1" x14ac:dyDescent="0.2"/>
    <row r="7" spans="2:9" ht="25.5" customHeight="1" x14ac:dyDescent="0.2">
      <c r="B7" s="101" t="s">
        <v>53</v>
      </c>
      <c r="C7" s="33" t="s">
        <v>54</v>
      </c>
      <c r="D7" s="34" t="s">
        <v>33</v>
      </c>
      <c r="E7" s="35">
        <v>90</v>
      </c>
      <c r="F7" s="35">
        <v>87</v>
      </c>
      <c r="G7" s="66">
        <f>IF(OR(F7=0,E7=0),"-",ROUND(F7/E7*100,1))</f>
        <v>96.7</v>
      </c>
      <c r="H7" s="37" t="str">
        <f>IF(G7="","-",IF(G7&gt;=90,"✅ LOGRADO",IF(G7&gt;=75,"⚠️ EN RIESGO","❌ CRÍTICO")))</f>
        <v>✅ LOGRADO</v>
      </c>
      <c r="I7" s="67" t="s">
        <v>110</v>
      </c>
    </row>
    <row r="8" spans="2:9" ht="25.5" customHeight="1" x14ac:dyDescent="0.2">
      <c r="B8" s="101"/>
      <c r="C8" s="33" t="s">
        <v>55</v>
      </c>
      <c r="D8" s="34" t="s">
        <v>33</v>
      </c>
      <c r="E8" s="35">
        <v>55</v>
      </c>
      <c r="F8" s="35">
        <v>49</v>
      </c>
      <c r="G8" s="66">
        <f>IF(OR(F8=0,E8=0),"-",ROUND(F8/E8*100,1))</f>
        <v>89.1</v>
      </c>
      <c r="H8" s="37" t="str">
        <f>IF(G8="","-",IF(G8&gt;=90,"✅ LOGRADO",IF(G8&gt;=75,"⚠️ EN RIESGO","❌ CRÍTICO")))</f>
        <v>⚠️ EN RIESGO</v>
      </c>
      <c r="I8" s="67" t="s">
        <v>111</v>
      </c>
    </row>
    <row r="9" spans="2:9" ht="25.5" customHeight="1" x14ac:dyDescent="0.2">
      <c r="B9" s="101"/>
      <c r="C9" s="33" t="s">
        <v>56</v>
      </c>
      <c r="D9" s="34" t="s">
        <v>33</v>
      </c>
      <c r="E9" s="35">
        <v>5</v>
      </c>
      <c r="F9" s="35">
        <v>7.2</v>
      </c>
      <c r="G9" s="66">
        <f>IF(OR(F9=0,E9=0),"-",ROUND(E9/F9*100,1))</f>
        <v>69.400000000000006</v>
      </c>
      <c r="H9" s="37" t="str">
        <f>IF(G9="","-",IF(G9&gt;=90,"✅ LOGRADO",IF(G9&gt;=75,"⚠️ EN RIESGO","❌ CRÍTICO")))</f>
        <v>❌ CRÍTICO</v>
      </c>
      <c r="I9" s="67" t="s">
        <v>112</v>
      </c>
    </row>
    <row r="10" spans="2:9" ht="4.5" customHeight="1" x14ac:dyDescent="0.2"/>
    <row r="11" spans="2:9" ht="25.5" customHeight="1" x14ac:dyDescent="0.2">
      <c r="B11" s="101" t="s">
        <v>57</v>
      </c>
      <c r="C11" s="28" t="s">
        <v>58</v>
      </c>
      <c r="D11" s="29" t="s">
        <v>59</v>
      </c>
      <c r="E11" s="30">
        <v>120</v>
      </c>
      <c r="F11" s="30">
        <v>105</v>
      </c>
      <c r="G11" s="64">
        <f>IF(OR(F11=0,E11=0),"-",ROUND(F11/E11*100,1))</f>
        <v>87.5</v>
      </c>
      <c r="H11" s="32" t="str">
        <f>IF(G11="","-",IF(G11&gt;=90,"✅ LOGRADO",IF(G11&gt;=75,"⚠️ EN RIESGO","❌ CRÍTICO")))</f>
        <v>⚠️ EN RIESGO</v>
      </c>
      <c r="I11" s="65" t="s">
        <v>113</v>
      </c>
    </row>
    <row r="12" spans="2:9" ht="25.5" customHeight="1" x14ac:dyDescent="0.2">
      <c r="B12" s="101"/>
      <c r="C12" s="28" t="s">
        <v>60</v>
      </c>
      <c r="D12" s="29" t="s">
        <v>33</v>
      </c>
      <c r="E12" s="30">
        <v>8.5</v>
      </c>
      <c r="F12" s="30">
        <v>7.8</v>
      </c>
      <c r="G12" s="64">
        <f>IF(OR(F12=0,E12=0),"-",ROUND(F12/E12*100,1))</f>
        <v>91.8</v>
      </c>
      <c r="H12" s="32" t="str">
        <f>IF(G12="","-",IF(G12&gt;=90,"✅ LOGRADO",IF(G12&gt;=75,"⚠️ EN RIESGO","❌ CRÍTICO")))</f>
        <v>✅ LOGRADO</v>
      </c>
      <c r="I12" s="65" t="s">
        <v>114</v>
      </c>
    </row>
    <row r="13" spans="2:9" ht="25.5" customHeight="1" x14ac:dyDescent="0.2">
      <c r="B13" s="101"/>
      <c r="C13" s="28" t="s">
        <v>61</v>
      </c>
      <c r="D13" s="29" t="s">
        <v>44</v>
      </c>
      <c r="E13" s="30">
        <v>180</v>
      </c>
      <c r="F13" s="30">
        <v>215</v>
      </c>
      <c r="G13" s="64">
        <f>IF(OR(F13=0,E13=0),"-",ROUND(E13/F13*100,1))</f>
        <v>83.7</v>
      </c>
      <c r="H13" s="32" t="str">
        <f>IF(G13="","-",IF(G13&gt;=90,"✅ LOGRADO",IF(G13&gt;=75,"⚠️ EN RIESGO","❌ CRÍTICO")))</f>
        <v>⚠️ EN RIESGO</v>
      </c>
      <c r="I13" s="65" t="s">
        <v>115</v>
      </c>
    </row>
    <row r="14" spans="2:9" ht="4.5" customHeight="1" x14ac:dyDescent="0.2"/>
    <row r="16" spans="2:9" ht="19.5" customHeight="1" x14ac:dyDescent="0.2">
      <c r="B16" s="99" t="s">
        <v>105</v>
      </c>
      <c r="C16" s="99"/>
      <c r="D16" s="99"/>
      <c r="E16" s="99"/>
      <c r="F16" s="99"/>
      <c r="G16" s="99"/>
      <c r="H16" s="99"/>
      <c r="I16" s="99"/>
    </row>
  </sheetData>
  <mergeCells count="5">
    <mergeCell ref="B1:I1"/>
    <mergeCell ref="B3:B5"/>
    <mergeCell ref="B7:B9"/>
    <mergeCell ref="B11:B13"/>
    <mergeCell ref="B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6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2" customWidth="1"/>
    <col min="3" max="3" width="40" customWidth="1"/>
    <col min="4" max="4" width="11" customWidth="1"/>
    <col min="5" max="6" width="13" customWidth="1"/>
    <col min="7" max="7" width="15" customWidth="1"/>
    <col min="8" max="8" width="18" customWidth="1"/>
    <col min="9" max="9" width="28" customWidth="1"/>
  </cols>
  <sheetData>
    <row r="1" spans="2:9" ht="33.75" customHeight="1" x14ac:dyDescent="0.2">
      <c r="B1" s="102" t="s">
        <v>116</v>
      </c>
      <c r="C1" s="102"/>
      <c r="D1" s="102"/>
      <c r="E1" s="102"/>
      <c r="F1" s="102"/>
      <c r="G1" s="102"/>
      <c r="H1" s="102"/>
      <c r="I1" s="102"/>
    </row>
    <row r="2" spans="2:9" ht="19.5" customHeight="1" x14ac:dyDescent="0.2">
      <c r="B2" s="68" t="s">
        <v>23</v>
      </c>
      <c r="C2" s="68" t="s">
        <v>24</v>
      </c>
      <c r="D2" s="68" t="s">
        <v>25</v>
      </c>
      <c r="E2" s="68" t="s">
        <v>93</v>
      </c>
      <c r="F2" s="68" t="s">
        <v>94</v>
      </c>
      <c r="G2" s="68" t="s">
        <v>28</v>
      </c>
      <c r="H2" s="68" t="s">
        <v>29</v>
      </c>
      <c r="I2" s="68" t="s">
        <v>95</v>
      </c>
    </row>
    <row r="3" spans="2:9" ht="25.5" customHeight="1" x14ac:dyDescent="0.2">
      <c r="B3" s="103" t="s">
        <v>63</v>
      </c>
      <c r="C3" s="38" t="s">
        <v>64</v>
      </c>
      <c r="D3" s="39" t="s">
        <v>52</v>
      </c>
      <c r="E3" s="40">
        <v>3</v>
      </c>
      <c r="F3" s="40">
        <v>3.5</v>
      </c>
      <c r="G3" s="69">
        <f>IF(OR(F3=0,E3=0),"-",ROUND(E3/F3*100,1))</f>
        <v>85.7</v>
      </c>
      <c r="H3" s="42" t="str">
        <f>IF(G3="","-",IF(G3&gt;=90,"✅ LOGRADO",IF(G3&gt;=75,"⚠️ EN RIESGO","❌ CRÍTICO")))</f>
        <v>⚠️ EN RIESGO</v>
      </c>
      <c r="I3" s="70" t="s">
        <v>117</v>
      </c>
    </row>
    <row r="4" spans="2:9" ht="25.5" customHeight="1" x14ac:dyDescent="0.2">
      <c r="B4" s="103"/>
      <c r="C4" s="38" t="s">
        <v>65</v>
      </c>
      <c r="D4" s="39" t="s">
        <v>33</v>
      </c>
      <c r="E4" s="40">
        <v>2</v>
      </c>
      <c r="F4" s="40">
        <v>2.8</v>
      </c>
      <c r="G4" s="69">
        <f>IF(OR(F4=0,E4=0),"-",ROUND(E4/F4*100,1))</f>
        <v>71.400000000000006</v>
      </c>
      <c r="H4" s="42" t="str">
        <f>IF(G4="","-",IF(G4&gt;=90,"✅ LOGRADO",IF(G4&gt;=75,"⚠️ EN RIESGO","❌ CRÍTICO")))</f>
        <v>❌ CRÍTICO</v>
      </c>
      <c r="I4" s="70" t="s">
        <v>118</v>
      </c>
    </row>
    <row r="5" spans="2:9" ht="25.5" customHeight="1" x14ac:dyDescent="0.2">
      <c r="B5" s="103"/>
      <c r="C5" s="38" t="s">
        <v>66</v>
      </c>
      <c r="D5" s="39" t="s">
        <v>36</v>
      </c>
      <c r="E5" s="40">
        <v>0.25</v>
      </c>
      <c r="F5" s="40">
        <v>0.22</v>
      </c>
      <c r="G5" s="69">
        <f>IF(OR(F5=0,E5=0),"-",ROUND(F5/E5*100,1))</f>
        <v>88</v>
      </c>
      <c r="H5" s="42" t="str">
        <f>IF(G5="","-",IF(G5&gt;=90,"✅ LOGRADO",IF(G5&gt;=75,"⚠️ EN RIESGO","❌ CRÍTICO")))</f>
        <v>⚠️ EN RIESGO</v>
      </c>
      <c r="I5" s="70" t="s">
        <v>119</v>
      </c>
    </row>
    <row r="6" spans="2:9" ht="4.5" customHeight="1" x14ac:dyDescent="0.2"/>
    <row r="7" spans="2:9" ht="25.5" customHeight="1" x14ac:dyDescent="0.2">
      <c r="B7" s="103" t="s">
        <v>67</v>
      </c>
      <c r="C7" s="43" t="s">
        <v>68</v>
      </c>
      <c r="D7" s="44" t="s">
        <v>59</v>
      </c>
      <c r="E7" s="45">
        <v>4</v>
      </c>
      <c r="F7" s="45">
        <v>3</v>
      </c>
      <c r="G7" s="71">
        <f>IF(OR(F7=0,E7=0),"-",ROUND(F7/E7*100,1))</f>
        <v>75</v>
      </c>
      <c r="H7" s="47" t="str">
        <f>IF(G7="","-",IF(G7&gt;=90,"✅ LOGRADO",IF(G7&gt;=75,"⚠️ EN RIESGO","❌ CRÍTICO")))</f>
        <v>⚠️ EN RIESGO</v>
      </c>
      <c r="I7" s="72" t="s">
        <v>120</v>
      </c>
    </row>
    <row r="8" spans="2:9" ht="25.5" customHeight="1" x14ac:dyDescent="0.2">
      <c r="B8" s="103"/>
      <c r="C8" s="43" t="s">
        <v>69</v>
      </c>
      <c r="D8" s="44" t="s">
        <v>70</v>
      </c>
      <c r="E8" s="45">
        <v>12</v>
      </c>
      <c r="F8" s="45">
        <v>15</v>
      </c>
      <c r="G8" s="71">
        <f>IF(OR(F8=0,E8=0),"-",ROUND(E8/F8*100,1))</f>
        <v>80</v>
      </c>
      <c r="H8" s="47" t="str">
        <f>IF(G8="","-",IF(G8&gt;=90,"✅ LOGRADO",IF(G8&gt;=75,"⚠️ EN RIESGO","❌ CRÍTICO")))</f>
        <v>⚠️ EN RIESGO</v>
      </c>
      <c r="I8" s="72" t="s">
        <v>121</v>
      </c>
    </row>
    <row r="9" spans="2:9" ht="25.5" customHeight="1" x14ac:dyDescent="0.2">
      <c r="B9" s="103"/>
      <c r="C9" s="43" t="s">
        <v>71</v>
      </c>
      <c r="D9" s="44" t="s">
        <v>33</v>
      </c>
      <c r="E9" s="45">
        <v>25</v>
      </c>
      <c r="F9" s="45">
        <v>18</v>
      </c>
      <c r="G9" s="71">
        <f>IF(OR(F9=0,E9=0),"-",ROUND(F9/E9*100,1))</f>
        <v>72</v>
      </c>
      <c r="H9" s="47" t="str">
        <f>IF(G9="","-",IF(G9&gt;=90,"✅ LOGRADO",IF(G9&gt;=75,"⚠️ EN RIESGO","❌ CRÍTICO")))</f>
        <v>❌ CRÍTICO</v>
      </c>
      <c r="I9" s="72" t="s">
        <v>122</v>
      </c>
    </row>
    <row r="10" spans="2:9" ht="4.5" customHeight="1" x14ac:dyDescent="0.2"/>
    <row r="11" spans="2:9" ht="25.5" customHeight="1" x14ac:dyDescent="0.2">
      <c r="B11" s="103" t="s">
        <v>72</v>
      </c>
      <c r="C11" s="38" t="s">
        <v>73</v>
      </c>
      <c r="D11" s="39" t="s">
        <v>33</v>
      </c>
      <c r="E11" s="40">
        <v>95</v>
      </c>
      <c r="F11" s="40">
        <v>92</v>
      </c>
      <c r="G11" s="69">
        <f>IF(OR(F11=0,E11=0),"-",ROUND(F11/E11*100,1))</f>
        <v>96.8</v>
      </c>
      <c r="H11" s="42" t="str">
        <f>IF(G11="","-",IF(G11&gt;=90,"✅ LOGRADO",IF(G11&gt;=75,"⚠️ EN RIESGO","❌ CRÍTICO")))</f>
        <v>✅ LOGRADO</v>
      </c>
      <c r="I11" s="70" t="s">
        <v>123</v>
      </c>
    </row>
    <row r="12" spans="2:9" ht="25.5" customHeight="1" x14ac:dyDescent="0.2">
      <c r="B12" s="103"/>
      <c r="C12" s="38" t="s">
        <v>74</v>
      </c>
      <c r="D12" s="39" t="s">
        <v>59</v>
      </c>
      <c r="E12" s="40">
        <v>5</v>
      </c>
      <c r="F12" s="40">
        <v>8</v>
      </c>
      <c r="G12" s="69">
        <f>IF(OR(F12=0,E12=0),"-",ROUND(E12/F12*100,1))</f>
        <v>62.5</v>
      </c>
      <c r="H12" s="42" t="str">
        <f>IF(G12="","-",IF(G12&gt;=90,"✅ LOGRADO",IF(G12&gt;=75,"⚠️ EN RIESGO","❌ CRÍTICO")))</f>
        <v>❌ CRÍTICO</v>
      </c>
      <c r="I12" s="70" t="s">
        <v>124</v>
      </c>
    </row>
    <row r="13" spans="2:9" ht="25.5" customHeight="1" x14ac:dyDescent="0.2">
      <c r="B13" s="103"/>
      <c r="C13" s="38" t="s">
        <v>75</v>
      </c>
      <c r="D13" s="39" t="s">
        <v>33</v>
      </c>
      <c r="E13" s="40">
        <v>12</v>
      </c>
      <c r="F13" s="40">
        <v>14.5</v>
      </c>
      <c r="G13" s="69">
        <f>IF(OR(F13=0,E13=0),"-",ROUND(E13/F13*100,1))</f>
        <v>82.8</v>
      </c>
      <c r="H13" s="42" t="str">
        <f>IF(G13="","-",IF(G13&gt;=90,"✅ LOGRADO",IF(G13&gt;=75,"⚠️ EN RIESGO","❌ CRÍTICO")))</f>
        <v>⚠️ EN RIESGO</v>
      </c>
      <c r="I13" s="70" t="s">
        <v>125</v>
      </c>
    </row>
    <row r="14" spans="2:9" ht="4.5" customHeight="1" x14ac:dyDescent="0.2"/>
    <row r="16" spans="2:9" ht="19.5" customHeight="1" x14ac:dyDescent="0.2">
      <c r="B16" s="99" t="s">
        <v>105</v>
      </c>
      <c r="C16" s="99"/>
      <c r="D16" s="99"/>
      <c r="E16" s="99"/>
      <c r="F16" s="99"/>
      <c r="G16" s="99"/>
      <c r="H16" s="99"/>
      <c r="I16" s="99"/>
    </row>
  </sheetData>
  <mergeCells count="5">
    <mergeCell ref="B1:I1"/>
    <mergeCell ref="B3:B5"/>
    <mergeCell ref="B7:B9"/>
    <mergeCell ref="B11:B13"/>
    <mergeCell ref="B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6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2" customWidth="1"/>
    <col min="3" max="3" width="40" customWidth="1"/>
    <col min="4" max="4" width="11" customWidth="1"/>
    <col min="5" max="6" width="13" customWidth="1"/>
    <col min="7" max="7" width="15" customWidth="1"/>
    <col min="8" max="8" width="18" customWidth="1"/>
    <col min="9" max="9" width="28" customWidth="1"/>
  </cols>
  <sheetData>
    <row r="1" spans="2:9" ht="33.75" customHeight="1" x14ac:dyDescent="0.2">
      <c r="B1" s="104" t="s">
        <v>126</v>
      </c>
      <c r="C1" s="104"/>
      <c r="D1" s="104"/>
      <c r="E1" s="104"/>
      <c r="F1" s="104"/>
      <c r="G1" s="104"/>
      <c r="H1" s="104"/>
      <c r="I1" s="104"/>
    </row>
    <row r="2" spans="2:9" ht="19.5" customHeight="1" x14ac:dyDescent="0.2">
      <c r="B2" s="73" t="s">
        <v>23</v>
      </c>
      <c r="C2" s="73" t="s">
        <v>24</v>
      </c>
      <c r="D2" s="73" t="s">
        <v>25</v>
      </c>
      <c r="E2" s="73" t="s">
        <v>93</v>
      </c>
      <c r="F2" s="73" t="s">
        <v>94</v>
      </c>
      <c r="G2" s="73" t="s">
        <v>28</v>
      </c>
      <c r="H2" s="73" t="s">
        <v>29</v>
      </c>
      <c r="I2" s="73" t="s">
        <v>95</v>
      </c>
    </row>
    <row r="3" spans="2:9" ht="25.5" customHeight="1" x14ac:dyDescent="0.2">
      <c r="B3" s="105" t="s">
        <v>77</v>
      </c>
      <c r="C3" s="48" t="s">
        <v>78</v>
      </c>
      <c r="D3" s="49" t="s">
        <v>79</v>
      </c>
      <c r="E3" s="50">
        <v>40</v>
      </c>
      <c r="F3" s="50">
        <v>35</v>
      </c>
      <c r="G3" s="74">
        <f>IF(OR(F3=0,E3=0),"-",ROUND(F3/E3*100,1))</f>
        <v>87.5</v>
      </c>
      <c r="H3" s="52" t="str">
        <f>IF(G3="","-",IF(G3&gt;=90,"✅ LOGRADO",IF(G3&gt;=75,"⚠️ EN RIESGO","❌ CRÍTICO")))</f>
        <v>⚠️ EN RIESGO</v>
      </c>
      <c r="I3" s="75" t="s">
        <v>127</v>
      </c>
    </row>
    <row r="4" spans="2:9" ht="25.5" customHeight="1" x14ac:dyDescent="0.2">
      <c r="B4" s="105"/>
      <c r="C4" s="48" t="s">
        <v>80</v>
      </c>
      <c r="D4" s="49" t="s">
        <v>33</v>
      </c>
      <c r="E4" s="50">
        <v>80</v>
      </c>
      <c r="F4" s="50">
        <v>72</v>
      </c>
      <c r="G4" s="74">
        <f>IF(OR(F4=0,E4=0),"-",ROUND(F4/E4*100,1))</f>
        <v>90</v>
      </c>
      <c r="H4" s="52" t="str">
        <f>IF(G4="","-",IF(G4&gt;=90,"✅ LOGRADO",IF(G4&gt;=75,"⚠️ EN RIESGO","❌ CRÍTICO")))</f>
        <v>✅ LOGRADO</v>
      </c>
      <c r="I4" s="75" t="s">
        <v>128</v>
      </c>
    </row>
    <row r="5" spans="2:9" ht="25.5" customHeight="1" x14ac:dyDescent="0.2">
      <c r="B5" s="105"/>
      <c r="C5" s="48" t="s">
        <v>81</v>
      </c>
      <c r="D5" s="49" t="s">
        <v>33</v>
      </c>
      <c r="E5" s="50">
        <v>85</v>
      </c>
      <c r="F5" s="50">
        <v>74</v>
      </c>
      <c r="G5" s="74">
        <f>IF(OR(F5=0,E5=0),"-",ROUND(F5/E5*100,1))</f>
        <v>87.1</v>
      </c>
      <c r="H5" s="52" t="str">
        <f>IF(G5="","-",IF(G5&gt;=90,"✅ LOGRADO",IF(G5&gt;=75,"⚠️ EN RIESGO","❌ CRÍTICO")))</f>
        <v>⚠️ EN RIESGO</v>
      </c>
      <c r="I5" s="75" t="s">
        <v>129</v>
      </c>
    </row>
    <row r="6" spans="2:9" ht="4.5" customHeight="1" x14ac:dyDescent="0.2"/>
    <row r="7" spans="2:9" ht="25.5" customHeight="1" x14ac:dyDescent="0.2">
      <c r="B7" s="105" t="s">
        <v>82</v>
      </c>
      <c r="C7" s="53" t="s">
        <v>83</v>
      </c>
      <c r="D7" s="54" t="s">
        <v>33</v>
      </c>
      <c r="E7" s="55">
        <v>75</v>
      </c>
      <c r="F7" s="55">
        <v>68</v>
      </c>
      <c r="G7" s="76">
        <f>IF(OR(F7=0,E7=0),"-",ROUND(F7/E7*100,1))</f>
        <v>90.7</v>
      </c>
      <c r="H7" s="57" t="str">
        <f>IF(G7="","-",IF(G7&gt;=90,"✅ LOGRADO",IF(G7&gt;=75,"⚠️ EN RIESGO","❌ CRÍTICO")))</f>
        <v>✅ LOGRADO</v>
      </c>
      <c r="I7" s="77" t="s">
        <v>130</v>
      </c>
    </row>
    <row r="8" spans="2:9" ht="25.5" customHeight="1" x14ac:dyDescent="0.2">
      <c r="B8" s="105"/>
      <c r="C8" s="53" t="s">
        <v>84</v>
      </c>
      <c r="D8" s="54" t="s">
        <v>33</v>
      </c>
      <c r="E8" s="55">
        <v>8</v>
      </c>
      <c r="F8" s="55">
        <v>10</v>
      </c>
      <c r="G8" s="76">
        <f>IF(OR(F8=0,E8=0),"-",ROUND(E8/F8*100,1))</f>
        <v>80</v>
      </c>
      <c r="H8" s="57" t="str">
        <f>IF(G8="","-",IF(G8&gt;=90,"✅ LOGRADO",IF(G8&gt;=75,"⚠️ EN RIESGO","❌ CRÍTICO")))</f>
        <v>⚠️ EN RIESGO</v>
      </c>
      <c r="I8" s="77" t="s">
        <v>131</v>
      </c>
    </row>
    <row r="9" spans="2:9" ht="25.5" customHeight="1" x14ac:dyDescent="0.2">
      <c r="B9" s="105"/>
      <c r="C9" s="53" t="s">
        <v>85</v>
      </c>
      <c r="D9" s="54" t="s">
        <v>33</v>
      </c>
      <c r="E9" s="55">
        <v>95</v>
      </c>
      <c r="F9" s="55">
        <v>88</v>
      </c>
      <c r="G9" s="76">
        <f>IF(OR(F9=0,E9=0),"-",ROUND(F9/E9*100,1))</f>
        <v>92.6</v>
      </c>
      <c r="H9" s="57" t="str">
        <f>IF(G9="","-",IF(G9&gt;=90,"✅ LOGRADO",IF(G9&gt;=75,"⚠️ EN RIESGO","❌ CRÍTICO")))</f>
        <v>✅ LOGRADO</v>
      </c>
      <c r="I9" s="77" t="s">
        <v>132</v>
      </c>
    </row>
    <row r="10" spans="2:9" ht="4.5" customHeight="1" x14ac:dyDescent="0.2"/>
    <row r="11" spans="2:9" ht="25.5" customHeight="1" x14ac:dyDescent="0.2">
      <c r="B11" s="105" t="s">
        <v>86</v>
      </c>
      <c r="C11" s="48" t="s">
        <v>87</v>
      </c>
      <c r="D11" s="49" t="s">
        <v>59</v>
      </c>
      <c r="E11" s="50">
        <v>6</v>
      </c>
      <c r="F11" s="50">
        <v>5</v>
      </c>
      <c r="G11" s="74">
        <f>IF(OR(F11=0,E11=0),"-",ROUND(F11/E11*100,1))</f>
        <v>83.3</v>
      </c>
      <c r="H11" s="52" t="str">
        <f>IF(G11="","-",IF(G11&gt;=90,"✅ LOGRADO",IF(G11&gt;=75,"⚠️ EN RIESGO","❌ CRÍTICO")))</f>
        <v>⚠️ EN RIESGO</v>
      </c>
      <c r="I11" s="75" t="s">
        <v>133</v>
      </c>
    </row>
    <row r="12" spans="2:9" ht="25.5" customHeight="1" x14ac:dyDescent="0.2">
      <c r="B12" s="105"/>
      <c r="C12" s="48" t="s">
        <v>88</v>
      </c>
      <c r="D12" s="49" t="s">
        <v>33</v>
      </c>
      <c r="E12" s="50">
        <v>5</v>
      </c>
      <c r="F12" s="50">
        <v>3.8</v>
      </c>
      <c r="G12" s="74">
        <f>IF(OR(F12=0,E12=0),"-",ROUND(F12/E12*100,1))</f>
        <v>76</v>
      </c>
      <c r="H12" s="52" t="str">
        <f>IF(G12="","-",IF(G12&gt;=90,"✅ LOGRADO",IF(G12&gt;=75,"⚠️ EN RIESGO","❌ CRÍTICO")))</f>
        <v>⚠️ EN RIESGO</v>
      </c>
      <c r="I12" s="75" t="s">
        <v>134</v>
      </c>
    </row>
    <row r="13" spans="2:9" ht="25.5" customHeight="1" x14ac:dyDescent="0.2">
      <c r="B13" s="105"/>
      <c r="C13" s="48" t="s">
        <v>89</v>
      </c>
      <c r="D13" s="49" t="s">
        <v>59</v>
      </c>
      <c r="E13" s="50">
        <v>24</v>
      </c>
      <c r="F13" s="50">
        <v>16</v>
      </c>
      <c r="G13" s="74">
        <f>IF(OR(F13=0,E13=0),"-",ROUND(F13/E13*100,1))</f>
        <v>66.7</v>
      </c>
      <c r="H13" s="52" t="str">
        <f>IF(G13="","-",IF(G13&gt;=90,"✅ LOGRADO",IF(G13&gt;=75,"⚠️ EN RIESGO","❌ CRÍTICO")))</f>
        <v>❌ CRÍTICO</v>
      </c>
      <c r="I13" s="75" t="s">
        <v>135</v>
      </c>
    </row>
    <row r="14" spans="2:9" ht="4.5" customHeight="1" x14ac:dyDescent="0.2"/>
    <row r="16" spans="2:9" ht="19.5" customHeight="1" x14ac:dyDescent="0.2">
      <c r="B16" s="99" t="s">
        <v>105</v>
      </c>
      <c r="C16" s="99"/>
      <c r="D16" s="99"/>
      <c r="E16" s="99"/>
      <c r="F16" s="99"/>
      <c r="G16" s="99"/>
      <c r="H16" s="99"/>
      <c r="I16" s="99"/>
    </row>
  </sheetData>
  <mergeCells count="5">
    <mergeCell ref="B1:I1"/>
    <mergeCell ref="B3:B5"/>
    <mergeCell ref="B7:B9"/>
    <mergeCell ref="B11:B13"/>
    <mergeCell ref="B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31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8" customWidth="1"/>
    <col min="3" max="8" width="13" customWidth="1"/>
    <col min="9" max="9" width="22" customWidth="1"/>
  </cols>
  <sheetData>
    <row r="1" spans="2:9" ht="36" customHeight="1" x14ac:dyDescent="0.2">
      <c r="B1" s="106" t="s">
        <v>136</v>
      </c>
      <c r="C1" s="106"/>
      <c r="D1" s="106"/>
      <c r="E1" s="106"/>
      <c r="F1" s="106"/>
      <c r="G1" s="106"/>
      <c r="H1" s="106"/>
      <c r="I1" s="106"/>
    </row>
    <row r="4" spans="2:9" x14ac:dyDescent="0.2">
      <c r="B4" s="107" t="s">
        <v>137</v>
      </c>
      <c r="C4" s="107"/>
      <c r="D4" s="107"/>
      <c r="E4" s="107"/>
      <c r="F4" s="108" t="s">
        <v>138</v>
      </c>
      <c r="G4" s="108"/>
      <c r="H4" s="108"/>
      <c r="I4" s="108"/>
    </row>
    <row r="5" spans="2:9" x14ac:dyDescent="0.2">
      <c r="B5" s="78" t="s">
        <v>139</v>
      </c>
      <c r="C5" s="78" t="s">
        <v>26</v>
      </c>
      <c r="D5" s="78" t="s">
        <v>27</v>
      </c>
      <c r="E5" s="78" t="s">
        <v>28</v>
      </c>
      <c r="F5" s="79" t="s">
        <v>139</v>
      </c>
      <c r="G5" s="79" t="s">
        <v>26</v>
      </c>
      <c r="H5" s="79" t="s">
        <v>27</v>
      </c>
      <c r="I5" s="79" t="s">
        <v>28</v>
      </c>
    </row>
    <row r="6" spans="2:9" ht="18" customHeight="1" x14ac:dyDescent="0.2">
      <c r="B6" s="80" t="s">
        <v>140</v>
      </c>
      <c r="C6" s="81">
        <v>18</v>
      </c>
      <c r="D6" s="81">
        <v>16.5</v>
      </c>
      <c r="E6" s="82" t="s">
        <v>141</v>
      </c>
      <c r="F6" s="83" t="s">
        <v>142</v>
      </c>
      <c r="G6" s="84">
        <v>65</v>
      </c>
      <c r="H6" s="84">
        <v>58</v>
      </c>
      <c r="I6" s="85" t="s">
        <v>143</v>
      </c>
    </row>
    <row r="7" spans="2:9" ht="18" customHeight="1" x14ac:dyDescent="0.2">
      <c r="B7" s="80" t="s">
        <v>34</v>
      </c>
      <c r="C7" s="81">
        <v>22</v>
      </c>
      <c r="D7" s="81">
        <v>19.8</v>
      </c>
      <c r="E7" s="82" t="s">
        <v>144</v>
      </c>
      <c r="F7" s="80" t="s">
        <v>145</v>
      </c>
      <c r="G7" s="81">
        <v>88</v>
      </c>
      <c r="H7" s="81">
        <v>84</v>
      </c>
      <c r="I7" s="82" t="s">
        <v>146</v>
      </c>
    </row>
    <row r="8" spans="2:9" ht="18" customHeight="1" x14ac:dyDescent="0.2">
      <c r="B8" s="83" t="s">
        <v>147</v>
      </c>
      <c r="C8" s="84">
        <v>2.1</v>
      </c>
      <c r="D8" s="84">
        <v>1.87</v>
      </c>
      <c r="E8" s="85" t="s">
        <v>148</v>
      </c>
      <c r="F8" s="86" t="s">
        <v>149</v>
      </c>
      <c r="G8" s="87">
        <v>2</v>
      </c>
      <c r="H8" s="87">
        <v>2.8</v>
      </c>
      <c r="I8" s="88" t="s">
        <v>150</v>
      </c>
    </row>
    <row r="9" spans="2:9" ht="18" customHeight="1" x14ac:dyDescent="0.2">
      <c r="B9" s="83" t="s">
        <v>151</v>
      </c>
      <c r="C9" s="84">
        <v>15</v>
      </c>
      <c r="D9" s="84">
        <v>12.3</v>
      </c>
      <c r="E9" s="85" t="s">
        <v>152</v>
      </c>
      <c r="F9" s="80" t="s">
        <v>153</v>
      </c>
      <c r="G9" s="81">
        <v>90</v>
      </c>
      <c r="H9" s="81">
        <v>87</v>
      </c>
      <c r="I9" s="82" t="s">
        <v>154</v>
      </c>
    </row>
    <row r="10" spans="2:9" ht="18" customHeight="1" x14ac:dyDescent="0.2">
      <c r="B10" s="80" t="s">
        <v>155</v>
      </c>
      <c r="C10" s="81">
        <v>8.5</v>
      </c>
      <c r="D10" s="81">
        <v>7.9</v>
      </c>
      <c r="E10" s="82" t="s">
        <v>156</v>
      </c>
      <c r="F10" s="83" t="s">
        <v>157</v>
      </c>
      <c r="G10" s="84">
        <v>55</v>
      </c>
      <c r="H10" s="84">
        <v>49</v>
      </c>
      <c r="I10" s="85" t="s">
        <v>158</v>
      </c>
    </row>
    <row r="11" spans="2:9" ht="18" customHeight="1" x14ac:dyDescent="0.2">
      <c r="B11" s="83" t="s">
        <v>159</v>
      </c>
      <c r="C11" s="84">
        <v>20</v>
      </c>
      <c r="D11" s="84">
        <v>15.6</v>
      </c>
      <c r="E11" s="85" t="s">
        <v>160</v>
      </c>
      <c r="F11" s="86" t="s">
        <v>161</v>
      </c>
      <c r="G11" s="87">
        <v>5</v>
      </c>
      <c r="H11" s="87">
        <v>7.2</v>
      </c>
      <c r="I11" s="88" t="s">
        <v>162</v>
      </c>
    </row>
    <row r="12" spans="2:9" ht="18" customHeight="1" x14ac:dyDescent="0.2">
      <c r="B12" s="80" t="s">
        <v>163</v>
      </c>
      <c r="C12" s="81">
        <v>55</v>
      </c>
      <c r="D12" s="81">
        <v>58.2</v>
      </c>
      <c r="E12" s="82" t="s">
        <v>164</v>
      </c>
      <c r="F12" s="83" t="s">
        <v>165</v>
      </c>
      <c r="G12" s="84">
        <v>120</v>
      </c>
      <c r="H12" s="84">
        <v>105</v>
      </c>
      <c r="I12" s="85" t="s">
        <v>166</v>
      </c>
    </row>
    <row r="13" spans="2:9" ht="18" customHeight="1" x14ac:dyDescent="0.2">
      <c r="B13" s="83" t="s">
        <v>167</v>
      </c>
      <c r="C13" s="84">
        <v>350</v>
      </c>
      <c r="D13" s="84">
        <v>412</v>
      </c>
      <c r="E13" s="85" t="s">
        <v>168</v>
      </c>
      <c r="F13" s="80" t="s">
        <v>169</v>
      </c>
      <c r="G13" s="81">
        <v>8.5</v>
      </c>
      <c r="H13" s="81">
        <v>7.8</v>
      </c>
      <c r="I13" s="82" t="s">
        <v>170</v>
      </c>
    </row>
    <row r="14" spans="2:9" ht="18" customHeight="1" x14ac:dyDescent="0.2">
      <c r="B14" s="83" t="s">
        <v>171</v>
      </c>
      <c r="C14" s="84">
        <v>9</v>
      </c>
      <c r="D14" s="84">
        <v>7.8</v>
      </c>
      <c r="E14" s="85" t="s">
        <v>172</v>
      </c>
      <c r="F14" s="83" t="s">
        <v>173</v>
      </c>
      <c r="G14" s="84">
        <v>180</v>
      </c>
      <c r="H14" s="84">
        <v>215</v>
      </c>
      <c r="I14" s="85" t="s">
        <v>174</v>
      </c>
    </row>
    <row r="16" spans="2:9" x14ac:dyDescent="0.2">
      <c r="B16" s="109" t="s">
        <v>175</v>
      </c>
      <c r="C16" s="109"/>
      <c r="D16" s="109"/>
      <c r="E16" s="109"/>
      <c r="F16" s="110" t="s">
        <v>176</v>
      </c>
      <c r="G16" s="110"/>
      <c r="H16" s="110"/>
      <c r="I16" s="110"/>
    </row>
    <row r="17" spans="2:9" x14ac:dyDescent="0.2">
      <c r="B17" s="89" t="s">
        <v>139</v>
      </c>
      <c r="C17" s="89" t="s">
        <v>26</v>
      </c>
      <c r="D17" s="89" t="s">
        <v>27</v>
      </c>
      <c r="E17" s="89" t="s">
        <v>28</v>
      </c>
      <c r="F17" s="90" t="s">
        <v>139</v>
      </c>
      <c r="G17" s="90" t="s">
        <v>26</v>
      </c>
      <c r="H17" s="90" t="s">
        <v>27</v>
      </c>
      <c r="I17" s="90" t="s">
        <v>28</v>
      </c>
    </row>
    <row r="18" spans="2:9" ht="18" customHeight="1" x14ac:dyDescent="0.2">
      <c r="B18" s="83" t="s">
        <v>177</v>
      </c>
      <c r="C18" s="84">
        <v>3</v>
      </c>
      <c r="D18" s="84">
        <v>3.5</v>
      </c>
      <c r="E18" s="85" t="s">
        <v>178</v>
      </c>
      <c r="F18" s="83" t="s">
        <v>179</v>
      </c>
      <c r="G18" s="84">
        <v>40</v>
      </c>
      <c r="H18" s="84">
        <v>35</v>
      </c>
      <c r="I18" s="85" t="s">
        <v>166</v>
      </c>
    </row>
    <row r="19" spans="2:9" ht="18" customHeight="1" x14ac:dyDescent="0.2">
      <c r="B19" s="86" t="s">
        <v>180</v>
      </c>
      <c r="C19" s="87">
        <v>2</v>
      </c>
      <c r="D19" s="87">
        <v>2.8</v>
      </c>
      <c r="E19" s="88" t="s">
        <v>150</v>
      </c>
      <c r="F19" s="80" t="s">
        <v>181</v>
      </c>
      <c r="G19" s="81">
        <v>80</v>
      </c>
      <c r="H19" s="81">
        <v>72</v>
      </c>
      <c r="I19" s="82" t="s">
        <v>144</v>
      </c>
    </row>
    <row r="20" spans="2:9" ht="18" customHeight="1" x14ac:dyDescent="0.2">
      <c r="B20" s="83" t="s">
        <v>182</v>
      </c>
      <c r="C20" s="84">
        <v>0.25</v>
      </c>
      <c r="D20" s="84">
        <v>0.22</v>
      </c>
      <c r="E20" s="85" t="s">
        <v>183</v>
      </c>
      <c r="F20" s="83" t="s">
        <v>184</v>
      </c>
      <c r="G20" s="84">
        <v>85</v>
      </c>
      <c r="H20" s="84">
        <v>74</v>
      </c>
      <c r="I20" s="85" t="s">
        <v>185</v>
      </c>
    </row>
    <row r="21" spans="2:9" ht="18" customHeight="1" x14ac:dyDescent="0.2">
      <c r="B21" s="83" t="s">
        <v>186</v>
      </c>
      <c r="C21" s="84">
        <v>4</v>
      </c>
      <c r="D21" s="84">
        <v>3</v>
      </c>
      <c r="E21" s="85" t="s">
        <v>187</v>
      </c>
      <c r="F21" s="80" t="s">
        <v>188</v>
      </c>
      <c r="G21" s="81">
        <v>75</v>
      </c>
      <c r="H21" s="81">
        <v>68</v>
      </c>
      <c r="I21" s="82" t="s">
        <v>189</v>
      </c>
    </row>
    <row r="22" spans="2:9" ht="18" customHeight="1" x14ac:dyDescent="0.2">
      <c r="B22" s="83" t="s">
        <v>190</v>
      </c>
      <c r="C22" s="84">
        <v>12</v>
      </c>
      <c r="D22" s="84">
        <v>15</v>
      </c>
      <c r="E22" s="85" t="s">
        <v>191</v>
      </c>
      <c r="F22" s="83" t="s">
        <v>192</v>
      </c>
      <c r="G22" s="84">
        <v>8</v>
      </c>
      <c r="H22" s="84">
        <v>10</v>
      </c>
      <c r="I22" s="85" t="s">
        <v>191</v>
      </c>
    </row>
    <row r="23" spans="2:9" ht="18" customHeight="1" x14ac:dyDescent="0.2">
      <c r="B23" s="86" t="s">
        <v>159</v>
      </c>
      <c r="C23" s="87">
        <v>25</v>
      </c>
      <c r="D23" s="87">
        <v>18</v>
      </c>
      <c r="E23" s="88" t="s">
        <v>193</v>
      </c>
      <c r="F23" s="80" t="s">
        <v>194</v>
      </c>
      <c r="G23" s="81">
        <v>95</v>
      </c>
      <c r="H23" s="81">
        <v>88</v>
      </c>
      <c r="I23" s="82" t="s">
        <v>195</v>
      </c>
    </row>
    <row r="24" spans="2:9" ht="18" customHeight="1" x14ac:dyDescent="0.2">
      <c r="B24" s="80" t="s">
        <v>196</v>
      </c>
      <c r="C24" s="81">
        <v>95</v>
      </c>
      <c r="D24" s="81">
        <v>92</v>
      </c>
      <c r="E24" s="82" t="s">
        <v>197</v>
      </c>
      <c r="F24" s="83" t="s">
        <v>198</v>
      </c>
      <c r="G24" s="84">
        <v>6</v>
      </c>
      <c r="H24" s="84">
        <v>5</v>
      </c>
      <c r="I24" s="85" t="s">
        <v>199</v>
      </c>
    </row>
    <row r="25" spans="2:9" ht="18" customHeight="1" x14ac:dyDescent="0.2">
      <c r="B25" s="86" t="s">
        <v>200</v>
      </c>
      <c r="C25" s="87">
        <v>5</v>
      </c>
      <c r="D25" s="87">
        <v>8</v>
      </c>
      <c r="E25" s="88" t="s">
        <v>201</v>
      </c>
      <c r="F25" s="83" t="s">
        <v>202</v>
      </c>
      <c r="G25" s="84">
        <v>5</v>
      </c>
      <c r="H25" s="84">
        <v>3.8</v>
      </c>
      <c r="I25" s="85" t="s">
        <v>203</v>
      </c>
    </row>
    <row r="26" spans="2:9" ht="25.5" customHeight="1" x14ac:dyDescent="0.2">
      <c r="B26" s="111" t="s">
        <v>204</v>
      </c>
      <c r="C26" s="111"/>
      <c r="D26" s="111"/>
      <c r="E26" s="111"/>
      <c r="F26" s="111"/>
      <c r="G26" s="111"/>
      <c r="H26" s="111"/>
      <c r="I26" s="111"/>
    </row>
    <row r="27" spans="2:9" ht="36" customHeight="1" x14ac:dyDescent="0.2">
      <c r="B27" s="112" t="s">
        <v>205</v>
      </c>
      <c r="C27" s="112"/>
      <c r="D27" s="112"/>
      <c r="E27" s="112"/>
      <c r="F27" s="112"/>
      <c r="G27" s="112"/>
      <c r="H27" s="112"/>
      <c r="I27" s="112"/>
    </row>
    <row r="29" spans="2:9" ht="25.5" customHeight="1" x14ac:dyDescent="0.2">
      <c r="B29" s="113" t="s">
        <v>206</v>
      </c>
      <c r="C29" s="113"/>
      <c r="D29" s="114" t="s">
        <v>207</v>
      </c>
      <c r="E29" s="114"/>
      <c r="F29" s="115" t="s">
        <v>208</v>
      </c>
      <c r="G29" s="115"/>
    </row>
    <row r="31" spans="2:9" ht="19.5" customHeight="1" x14ac:dyDescent="0.2">
      <c r="B31" s="116" t="s">
        <v>209</v>
      </c>
      <c r="C31" s="116"/>
      <c r="D31" s="116"/>
      <c r="E31" s="116"/>
      <c r="F31" s="116"/>
      <c r="G31" s="116"/>
      <c r="H31" s="116"/>
      <c r="I31" s="116"/>
    </row>
  </sheetData>
  <mergeCells count="11">
    <mergeCell ref="B31:I31"/>
    <mergeCell ref="B26:I26"/>
    <mergeCell ref="B27:I27"/>
    <mergeCell ref="B29:C29"/>
    <mergeCell ref="D29:E29"/>
    <mergeCell ref="F29:G29"/>
    <mergeCell ref="B1:I1"/>
    <mergeCell ref="B4:E4"/>
    <mergeCell ref="F4:I4"/>
    <mergeCell ref="B16:E16"/>
    <mergeCell ref="F16:I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🏠 Portada</vt:lpstr>
      <vt:lpstr>📊 BSC Completo</vt:lpstr>
      <vt:lpstr>💰 Financiera</vt:lpstr>
      <vt:lpstr>👥 Clientes</vt:lpstr>
      <vt:lpstr>🔧 Procesos</vt:lpstr>
      <vt:lpstr>📚 Aprendizaje</vt:lpstr>
      <vt:lpstr>📈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ROEL DANTE GOMEZ APAZA</cp:lastModifiedBy>
  <cp:revision>0</cp:revision>
  <dcterms:created xsi:type="dcterms:W3CDTF">2026-06-17T19:03:53Z</dcterms:created>
  <dcterms:modified xsi:type="dcterms:W3CDTF">2026-06-17T20:23:00Z</dcterms:modified>
  <dc:language>en-US</dc:language>
</cp:coreProperties>
</file>